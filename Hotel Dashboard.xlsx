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ccountant Career\Excel dashboard\"/>
    </mc:Choice>
  </mc:AlternateContent>
  <xr:revisionPtr revIDLastSave="0" documentId="13_ncr:1_{3C935F35-5ACA-4D6E-9B06-7E3A10F722D3}" xr6:coauthVersionLast="47" xr6:coauthVersionMax="47" xr10:uidLastSave="{00000000-0000-0000-0000-000000000000}"/>
  <bookViews>
    <workbookView xWindow="-110" yWindow="-110" windowWidth="19420" windowHeight="10420" xr2:uid="{E61E4D7F-1C79-4CE3-85FA-3EC94EE1EA6F}"/>
  </bookViews>
  <sheets>
    <sheet name="Dashboard" sheetId="3" r:id="rId1"/>
    <sheet name="Hotel Data" sheetId="1" r:id="rId2"/>
    <sheet name="Monthly Data" sheetId="2" r:id="rId3"/>
    <sheet name="Info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2" l="1"/>
  <c r="C15" i="2" s="1"/>
  <c r="B1" i="2"/>
  <c r="C8" i="2" l="1"/>
  <c r="C5" i="2"/>
  <c r="C9" i="2"/>
  <c r="C13" i="2"/>
  <c r="C4" i="2"/>
  <c r="C12" i="2"/>
  <c r="C6" i="2"/>
  <c r="C10" i="2"/>
  <c r="C14" i="2"/>
  <c r="C7" i="2"/>
  <c r="C11" i="2"/>
  <c r="L731" i="1"/>
  <c r="E731" i="1"/>
  <c r="D731" i="1"/>
  <c r="C731" i="1"/>
  <c r="L730" i="1"/>
  <c r="E730" i="1"/>
  <c r="D730" i="1"/>
  <c r="C730" i="1"/>
  <c r="L729" i="1"/>
  <c r="J729" i="1"/>
  <c r="E729" i="1"/>
  <c r="D729" i="1"/>
  <c r="C729" i="1"/>
  <c r="L728" i="1"/>
  <c r="E728" i="1"/>
  <c r="D728" i="1"/>
  <c r="C728" i="1"/>
  <c r="L727" i="1"/>
  <c r="J727" i="1"/>
  <c r="E727" i="1"/>
  <c r="D727" i="1"/>
  <c r="C727" i="1"/>
  <c r="L726" i="1"/>
  <c r="E726" i="1"/>
  <c r="D726" i="1"/>
  <c r="C726" i="1"/>
  <c r="L725" i="1"/>
  <c r="J725" i="1"/>
  <c r="E725" i="1"/>
  <c r="D725" i="1"/>
  <c r="C725" i="1"/>
  <c r="L724" i="1"/>
  <c r="E724" i="1"/>
  <c r="D724" i="1"/>
  <c r="C724" i="1"/>
  <c r="L723" i="1"/>
  <c r="E723" i="1"/>
  <c r="D723" i="1"/>
  <c r="C723" i="1"/>
  <c r="L722" i="1"/>
  <c r="E722" i="1"/>
  <c r="D722" i="1"/>
  <c r="C722" i="1"/>
  <c r="L721" i="1"/>
  <c r="E721" i="1"/>
  <c r="D721" i="1"/>
  <c r="C721" i="1"/>
  <c r="L720" i="1"/>
  <c r="E720" i="1"/>
  <c r="D720" i="1"/>
  <c r="C720" i="1"/>
  <c r="L719" i="1"/>
  <c r="J719" i="1"/>
  <c r="E719" i="1"/>
  <c r="D719" i="1"/>
  <c r="C719" i="1"/>
  <c r="L718" i="1"/>
  <c r="E718" i="1"/>
  <c r="D718" i="1"/>
  <c r="C718" i="1"/>
  <c r="L717" i="1"/>
  <c r="J717" i="1"/>
  <c r="E717" i="1"/>
  <c r="D717" i="1"/>
  <c r="C717" i="1"/>
  <c r="L716" i="1"/>
  <c r="E716" i="1"/>
  <c r="D716" i="1"/>
  <c r="C716" i="1"/>
  <c r="L715" i="1"/>
  <c r="E715" i="1"/>
  <c r="D715" i="1"/>
  <c r="C715" i="1"/>
  <c r="L714" i="1"/>
  <c r="E714" i="1"/>
  <c r="D714" i="1"/>
  <c r="C714" i="1"/>
  <c r="L713" i="1"/>
  <c r="E713" i="1"/>
  <c r="D713" i="1"/>
  <c r="C713" i="1"/>
  <c r="L712" i="1"/>
  <c r="E712" i="1"/>
  <c r="D712" i="1"/>
  <c r="C712" i="1"/>
  <c r="L711" i="1"/>
  <c r="J711" i="1"/>
  <c r="E711" i="1"/>
  <c r="D711" i="1"/>
  <c r="C711" i="1"/>
  <c r="L710" i="1"/>
  <c r="E710" i="1"/>
  <c r="D710" i="1"/>
  <c r="C710" i="1"/>
  <c r="L709" i="1"/>
  <c r="J709" i="1"/>
  <c r="E709" i="1"/>
  <c r="D709" i="1"/>
  <c r="C709" i="1"/>
  <c r="L708" i="1"/>
  <c r="E708" i="1"/>
  <c r="D708" i="1"/>
  <c r="C708" i="1"/>
  <c r="L707" i="1"/>
  <c r="E707" i="1"/>
  <c r="D707" i="1"/>
  <c r="C707" i="1"/>
  <c r="L706" i="1"/>
  <c r="E706" i="1"/>
  <c r="D706" i="1"/>
  <c r="C706" i="1"/>
  <c r="L705" i="1"/>
  <c r="E705" i="1"/>
  <c r="D705" i="1"/>
  <c r="C705" i="1"/>
  <c r="L704" i="1"/>
  <c r="E704" i="1"/>
  <c r="D704" i="1"/>
  <c r="C704" i="1"/>
  <c r="L703" i="1"/>
  <c r="J703" i="1"/>
  <c r="E703" i="1"/>
  <c r="D703" i="1"/>
  <c r="C703" i="1"/>
  <c r="L702" i="1"/>
  <c r="E702" i="1"/>
  <c r="D702" i="1"/>
  <c r="C702" i="1"/>
  <c r="J701" i="1"/>
  <c r="E701" i="1"/>
  <c r="D701" i="1"/>
  <c r="C701" i="1"/>
  <c r="L700" i="1"/>
  <c r="E700" i="1"/>
  <c r="D700" i="1"/>
  <c r="C700" i="1"/>
  <c r="L699" i="1"/>
  <c r="E699" i="1"/>
  <c r="D699" i="1"/>
  <c r="C699" i="1"/>
  <c r="L698" i="1"/>
  <c r="E698" i="1"/>
  <c r="D698" i="1"/>
  <c r="C698" i="1"/>
  <c r="L697" i="1"/>
  <c r="E697" i="1"/>
  <c r="D697" i="1"/>
  <c r="C697" i="1"/>
  <c r="L696" i="1"/>
  <c r="E696" i="1"/>
  <c r="D696" i="1"/>
  <c r="C696" i="1"/>
  <c r="L695" i="1"/>
  <c r="J695" i="1"/>
  <c r="E695" i="1"/>
  <c r="D695" i="1"/>
  <c r="C695" i="1"/>
  <c r="L694" i="1"/>
  <c r="E694" i="1"/>
  <c r="D694" i="1"/>
  <c r="C694" i="1"/>
  <c r="L693" i="1"/>
  <c r="J693" i="1"/>
  <c r="E693" i="1"/>
  <c r="D693" i="1"/>
  <c r="C693" i="1"/>
  <c r="L692" i="1"/>
  <c r="E692" i="1"/>
  <c r="D692" i="1"/>
  <c r="C692" i="1"/>
  <c r="L691" i="1"/>
  <c r="J691" i="1"/>
  <c r="E691" i="1"/>
  <c r="D691" i="1"/>
  <c r="C691" i="1"/>
  <c r="L690" i="1"/>
  <c r="E690" i="1"/>
  <c r="D690" i="1"/>
  <c r="C690" i="1"/>
  <c r="L689" i="1"/>
  <c r="E689" i="1"/>
  <c r="D689" i="1"/>
  <c r="C689" i="1"/>
  <c r="L688" i="1"/>
  <c r="E688" i="1"/>
  <c r="D688" i="1"/>
  <c r="C688" i="1"/>
  <c r="L687" i="1"/>
  <c r="J687" i="1"/>
  <c r="E687" i="1"/>
  <c r="D687" i="1"/>
  <c r="C687" i="1"/>
  <c r="L686" i="1"/>
  <c r="E686" i="1"/>
  <c r="D686" i="1"/>
  <c r="C686" i="1"/>
  <c r="L685" i="1"/>
  <c r="J685" i="1"/>
  <c r="E685" i="1"/>
  <c r="D685" i="1"/>
  <c r="C685" i="1"/>
  <c r="L684" i="1"/>
  <c r="E684" i="1"/>
  <c r="D684" i="1"/>
  <c r="C684" i="1"/>
  <c r="L683" i="1"/>
  <c r="E683" i="1"/>
  <c r="D683" i="1"/>
  <c r="C683" i="1"/>
  <c r="L682" i="1"/>
  <c r="E682" i="1"/>
  <c r="D682" i="1"/>
  <c r="C682" i="1"/>
  <c r="L681" i="1"/>
  <c r="J681" i="1"/>
  <c r="E681" i="1"/>
  <c r="D681" i="1"/>
  <c r="C681" i="1"/>
  <c r="L680" i="1"/>
  <c r="E680" i="1"/>
  <c r="D680" i="1"/>
  <c r="C680" i="1"/>
  <c r="L679" i="1"/>
  <c r="J679" i="1"/>
  <c r="E679" i="1"/>
  <c r="D679" i="1"/>
  <c r="C679" i="1"/>
  <c r="L678" i="1"/>
  <c r="E678" i="1"/>
  <c r="D678" i="1"/>
  <c r="C678" i="1"/>
  <c r="L677" i="1"/>
  <c r="J677" i="1"/>
  <c r="E677" i="1"/>
  <c r="D677" i="1"/>
  <c r="C677" i="1"/>
  <c r="L676" i="1"/>
  <c r="E676" i="1"/>
  <c r="D676" i="1"/>
  <c r="C676" i="1"/>
  <c r="L675" i="1"/>
  <c r="J675" i="1"/>
  <c r="E675" i="1"/>
  <c r="D675" i="1"/>
  <c r="C675" i="1"/>
  <c r="L674" i="1"/>
  <c r="E674" i="1"/>
  <c r="D674" i="1"/>
  <c r="C674" i="1"/>
  <c r="L673" i="1"/>
  <c r="E673" i="1"/>
  <c r="D673" i="1"/>
  <c r="C673" i="1"/>
  <c r="L672" i="1"/>
  <c r="E672" i="1"/>
  <c r="D672" i="1"/>
  <c r="C672" i="1"/>
  <c r="J671" i="1"/>
  <c r="E671" i="1"/>
  <c r="D671" i="1"/>
  <c r="C671" i="1"/>
  <c r="L670" i="1"/>
  <c r="E670" i="1"/>
  <c r="D670" i="1"/>
  <c r="C670" i="1"/>
  <c r="L669" i="1"/>
  <c r="J669" i="1"/>
  <c r="E669" i="1"/>
  <c r="D669" i="1"/>
  <c r="C669" i="1"/>
  <c r="L668" i="1"/>
  <c r="E668" i="1"/>
  <c r="D668" i="1"/>
  <c r="C668" i="1"/>
  <c r="L667" i="1"/>
  <c r="E667" i="1"/>
  <c r="D667" i="1"/>
  <c r="C667" i="1"/>
  <c r="L666" i="1"/>
  <c r="E666" i="1"/>
  <c r="D666" i="1"/>
  <c r="C666" i="1"/>
  <c r="L665" i="1"/>
  <c r="J665" i="1"/>
  <c r="E665" i="1"/>
  <c r="D665" i="1"/>
  <c r="C665" i="1"/>
  <c r="L664" i="1"/>
  <c r="E664" i="1"/>
  <c r="D664" i="1"/>
  <c r="C664" i="1"/>
  <c r="L663" i="1"/>
  <c r="J663" i="1"/>
  <c r="E663" i="1"/>
  <c r="D663" i="1"/>
  <c r="C663" i="1"/>
  <c r="L662" i="1"/>
  <c r="E662" i="1"/>
  <c r="D662" i="1"/>
  <c r="C662" i="1"/>
  <c r="L661" i="1"/>
  <c r="J661" i="1"/>
  <c r="E661" i="1"/>
  <c r="D661" i="1"/>
  <c r="C661" i="1"/>
  <c r="L660" i="1"/>
  <c r="E660" i="1"/>
  <c r="D660" i="1"/>
  <c r="C660" i="1"/>
  <c r="L659" i="1"/>
  <c r="J659" i="1"/>
  <c r="E659" i="1"/>
  <c r="D659" i="1"/>
  <c r="C659" i="1"/>
  <c r="L658" i="1"/>
  <c r="E658" i="1"/>
  <c r="D658" i="1"/>
  <c r="C658" i="1"/>
  <c r="L657" i="1"/>
  <c r="E657" i="1"/>
  <c r="D657" i="1"/>
  <c r="C657" i="1"/>
  <c r="L656" i="1"/>
  <c r="E656" i="1"/>
  <c r="D656" i="1"/>
  <c r="C656" i="1"/>
  <c r="L655" i="1"/>
  <c r="J655" i="1"/>
  <c r="E655" i="1"/>
  <c r="D655" i="1"/>
  <c r="C655" i="1"/>
  <c r="L654" i="1"/>
  <c r="J654" i="1"/>
  <c r="E654" i="1"/>
  <c r="D654" i="1"/>
  <c r="C654" i="1"/>
  <c r="L653" i="1"/>
  <c r="E653" i="1"/>
  <c r="D653" i="1"/>
  <c r="C653" i="1"/>
  <c r="L652" i="1"/>
  <c r="E652" i="1"/>
  <c r="D652" i="1"/>
  <c r="C652" i="1"/>
  <c r="L651" i="1"/>
  <c r="J651" i="1"/>
  <c r="E651" i="1"/>
  <c r="D651" i="1"/>
  <c r="C651" i="1"/>
  <c r="L650" i="1"/>
  <c r="J650" i="1"/>
  <c r="E650" i="1"/>
  <c r="D650" i="1"/>
  <c r="C650" i="1"/>
  <c r="L649" i="1"/>
  <c r="J649" i="1"/>
  <c r="E649" i="1"/>
  <c r="D649" i="1"/>
  <c r="C649" i="1"/>
  <c r="L648" i="1"/>
  <c r="E648" i="1"/>
  <c r="D648" i="1"/>
  <c r="C648" i="1"/>
  <c r="L647" i="1"/>
  <c r="J647" i="1"/>
  <c r="E647" i="1"/>
  <c r="D647" i="1"/>
  <c r="C647" i="1"/>
  <c r="L646" i="1"/>
  <c r="J646" i="1"/>
  <c r="E646" i="1"/>
  <c r="D646" i="1"/>
  <c r="C646" i="1"/>
  <c r="L645" i="1"/>
  <c r="J645" i="1"/>
  <c r="E645" i="1"/>
  <c r="D645" i="1"/>
  <c r="C645" i="1"/>
  <c r="L644" i="1"/>
  <c r="J644" i="1"/>
  <c r="E644" i="1"/>
  <c r="D644" i="1"/>
  <c r="C644" i="1"/>
  <c r="L643" i="1"/>
  <c r="J643" i="1"/>
  <c r="E643" i="1"/>
  <c r="D643" i="1"/>
  <c r="C643" i="1"/>
  <c r="L642" i="1"/>
  <c r="E642" i="1"/>
  <c r="D642" i="1"/>
  <c r="C642" i="1"/>
  <c r="L641" i="1"/>
  <c r="J641" i="1"/>
  <c r="E641" i="1"/>
  <c r="D641" i="1"/>
  <c r="C641" i="1"/>
  <c r="J640" i="1"/>
  <c r="E640" i="1"/>
  <c r="D640" i="1"/>
  <c r="C640" i="1"/>
  <c r="L639" i="1"/>
  <c r="J639" i="1"/>
  <c r="E639" i="1"/>
  <c r="D639" i="1"/>
  <c r="C639" i="1"/>
  <c r="L638" i="1"/>
  <c r="E638" i="1"/>
  <c r="D638" i="1"/>
  <c r="C638" i="1"/>
  <c r="L637" i="1"/>
  <c r="E637" i="1"/>
  <c r="D637" i="1"/>
  <c r="C637" i="1"/>
  <c r="L636" i="1"/>
  <c r="J636" i="1"/>
  <c r="E636" i="1"/>
  <c r="D636" i="1"/>
  <c r="C636" i="1"/>
  <c r="L635" i="1"/>
  <c r="J635" i="1"/>
  <c r="E635" i="1"/>
  <c r="D635" i="1"/>
  <c r="C635" i="1"/>
  <c r="L634" i="1"/>
  <c r="J634" i="1"/>
  <c r="E634" i="1"/>
  <c r="D634" i="1"/>
  <c r="C634" i="1"/>
  <c r="L633" i="1"/>
  <c r="J633" i="1"/>
  <c r="E633" i="1"/>
  <c r="D633" i="1"/>
  <c r="C633" i="1"/>
  <c r="L632" i="1"/>
  <c r="E632" i="1"/>
  <c r="D632" i="1"/>
  <c r="C632" i="1"/>
  <c r="L631" i="1"/>
  <c r="J631" i="1"/>
  <c r="E631" i="1"/>
  <c r="D631" i="1"/>
  <c r="C631" i="1"/>
  <c r="L630" i="1"/>
  <c r="J630" i="1"/>
  <c r="E630" i="1"/>
  <c r="D630" i="1"/>
  <c r="C630" i="1"/>
  <c r="L629" i="1"/>
  <c r="J629" i="1"/>
  <c r="E629" i="1"/>
  <c r="D629" i="1"/>
  <c r="C629" i="1"/>
  <c r="L628" i="1"/>
  <c r="J628" i="1"/>
  <c r="E628" i="1"/>
  <c r="D628" i="1"/>
  <c r="C628" i="1"/>
  <c r="L627" i="1"/>
  <c r="J627" i="1"/>
  <c r="E627" i="1"/>
  <c r="D627" i="1"/>
  <c r="C627" i="1"/>
  <c r="L626" i="1"/>
  <c r="E626" i="1"/>
  <c r="D626" i="1"/>
  <c r="C626" i="1"/>
  <c r="L625" i="1"/>
  <c r="J625" i="1"/>
  <c r="E625" i="1"/>
  <c r="D625" i="1"/>
  <c r="C625" i="1"/>
  <c r="L624" i="1"/>
  <c r="J624" i="1"/>
  <c r="E624" i="1"/>
  <c r="D624" i="1"/>
  <c r="C624" i="1"/>
  <c r="L623" i="1"/>
  <c r="J623" i="1"/>
  <c r="E623" i="1"/>
  <c r="D623" i="1"/>
  <c r="C623" i="1"/>
  <c r="L622" i="1"/>
  <c r="E622" i="1"/>
  <c r="D622" i="1"/>
  <c r="C622" i="1"/>
  <c r="L621" i="1"/>
  <c r="E621" i="1"/>
  <c r="D621" i="1"/>
  <c r="C621" i="1"/>
  <c r="L620" i="1"/>
  <c r="J620" i="1"/>
  <c r="E620" i="1"/>
  <c r="D620" i="1"/>
  <c r="C620" i="1"/>
  <c r="L619" i="1"/>
  <c r="J619" i="1"/>
  <c r="E619" i="1"/>
  <c r="D619" i="1"/>
  <c r="C619" i="1"/>
  <c r="L618" i="1"/>
  <c r="J618" i="1"/>
  <c r="E618" i="1"/>
  <c r="D618" i="1"/>
  <c r="C618" i="1"/>
  <c r="L617" i="1"/>
  <c r="J617" i="1"/>
  <c r="E617" i="1"/>
  <c r="D617" i="1"/>
  <c r="C617" i="1"/>
  <c r="L616" i="1"/>
  <c r="E616" i="1"/>
  <c r="D616" i="1"/>
  <c r="C616" i="1"/>
  <c r="L615" i="1"/>
  <c r="J615" i="1"/>
  <c r="E615" i="1"/>
  <c r="D615" i="1"/>
  <c r="C615" i="1"/>
  <c r="L614" i="1"/>
  <c r="J614" i="1"/>
  <c r="E614" i="1"/>
  <c r="D614" i="1"/>
  <c r="C614" i="1"/>
  <c r="L613" i="1"/>
  <c r="J613" i="1"/>
  <c r="E613" i="1"/>
  <c r="D613" i="1"/>
  <c r="C613" i="1"/>
  <c r="L612" i="1"/>
  <c r="J612" i="1"/>
  <c r="E612" i="1"/>
  <c r="D612" i="1"/>
  <c r="C612" i="1"/>
  <c r="L611" i="1"/>
  <c r="J611" i="1"/>
  <c r="E611" i="1"/>
  <c r="D611" i="1"/>
  <c r="C611" i="1"/>
  <c r="E610" i="1"/>
  <c r="D610" i="1"/>
  <c r="C610" i="1"/>
  <c r="L609" i="1"/>
  <c r="J609" i="1"/>
  <c r="E609" i="1"/>
  <c r="D609" i="1"/>
  <c r="C609" i="1"/>
  <c r="L608" i="1"/>
  <c r="J608" i="1"/>
  <c r="E608" i="1"/>
  <c r="D608" i="1"/>
  <c r="C608" i="1"/>
  <c r="L607" i="1"/>
  <c r="J607" i="1"/>
  <c r="E607" i="1"/>
  <c r="D607" i="1"/>
  <c r="C607" i="1"/>
  <c r="L606" i="1"/>
  <c r="E606" i="1"/>
  <c r="D606" i="1"/>
  <c r="C606" i="1"/>
  <c r="L605" i="1"/>
  <c r="E605" i="1"/>
  <c r="D605" i="1"/>
  <c r="C605" i="1"/>
  <c r="L604" i="1"/>
  <c r="J604" i="1"/>
  <c r="E604" i="1"/>
  <c r="D604" i="1"/>
  <c r="C604" i="1"/>
  <c r="L603" i="1"/>
  <c r="J603" i="1"/>
  <c r="E603" i="1"/>
  <c r="D603" i="1"/>
  <c r="C603" i="1"/>
  <c r="L602" i="1"/>
  <c r="J602" i="1"/>
  <c r="E602" i="1"/>
  <c r="D602" i="1"/>
  <c r="C602" i="1"/>
  <c r="L601" i="1"/>
  <c r="J601" i="1"/>
  <c r="E601" i="1"/>
  <c r="D601" i="1"/>
  <c r="C601" i="1"/>
  <c r="L600" i="1"/>
  <c r="E600" i="1"/>
  <c r="D600" i="1"/>
  <c r="C600" i="1"/>
  <c r="L599" i="1"/>
  <c r="J599" i="1"/>
  <c r="E599" i="1"/>
  <c r="D599" i="1"/>
  <c r="C599" i="1"/>
  <c r="L598" i="1"/>
  <c r="J598" i="1"/>
  <c r="E598" i="1"/>
  <c r="D598" i="1"/>
  <c r="C598" i="1"/>
  <c r="L597" i="1"/>
  <c r="E597" i="1"/>
  <c r="D597" i="1"/>
  <c r="C597" i="1"/>
  <c r="L596" i="1"/>
  <c r="J596" i="1"/>
  <c r="E596" i="1"/>
  <c r="D596" i="1"/>
  <c r="C596" i="1"/>
  <c r="L595" i="1"/>
  <c r="J595" i="1"/>
  <c r="E595" i="1"/>
  <c r="D595" i="1"/>
  <c r="C595" i="1"/>
  <c r="L594" i="1"/>
  <c r="J594" i="1"/>
  <c r="E594" i="1"/>
  <c r="D594" i="1"/>
  <c r="C594" i="1"/>
  <c r="L593" i="1"/>
  <c r="J593" i="1"/>
  <c r="E593" i="1"/>
  <c r="D593" i="1"/>
  <c r="C593" i="1"/>
  <c r="L592" i="1"/>
  <c r="J592" i="1"/>
  <c r="E592" i="1"/>
  <c r="D592" i="1"/>
  <c r="C592" i="1"/>
  <c r="L591" i="1"/>
  <c r="J591" i="1"/>
  <c r="E591" i="1"/>
  <c r="D591" i="1"/>
  <c r="C591" i="1"/>
  <c r="L590" i="1"/>
  <c r="E590" i="1"/>
  <c r="D590" i="1"/>
  <c r="C590" i="1"/>
  <c r="L589" i="1"/>
  <c r="J589" i="1"/>
  <c r="E589" i="1"/>
  <c r="D589" i="1"/>
  <c r="C589" i="1"/>
  <c r="L588" i="1"/>
  <c r="J588" i="1"/>
  <c r="E588" i="1"/>
  <c r="D588" i="1"/>
  <c r="C588" i="1"/>
  <c r="L587" i="1"/>
  <c r="J587" i="1"/>
  <c r="E587" i="1"/>
  <c r="D587" i="1"/>
  <c r="C587" i="1"/>
  <c r="L586" i="1"/>
  <c r="J586" i="1"/>
  <c r="E586" i="1"/>
  <c r="D586" i="1"/>
  <c r="C586" i="1"/>
  <c r="L585" i="1"/>
  <c r="J585" i="1"/>
  <c r="E585" i="1"/>
  <c r="D585" i="1"/>
  <c r="C585" i="1"/>
  <c r="L584" i="1"/>
  <c r="E584" i="1"/>
  <c r="D584" i="1"/>
  <c r="C584" i="1"/>
  <c r="L583" i="1"/>
  <c r="E583" i="1"/>
  <c r="D583" i="1"/>
  <c r="C583" i="1"/>
  <c r="L582" i="1"/>
  <c r="J582" i="1"/>
  <c r="E582" i="1"/>
  <c r="D582" i="1"/>
  <c r="C582" i="1"/>
  <c r="L581" i="1"/>
  <c r="E581" i="1"/>
  <c r="D581" i="1"/>
  <c r="C581" i="1"/>
  <c r="L580" i="1"/>
  <c r="J580" i="1"/>
  <c r="E580" i="1"/>
  <c r="D580" i="1"/>
  <c r="C580" i="1"/>
  <c r="J579" i="1"/>
  <c r="E579" i="1"/>
  <c r="D579" i="1"/>
  <c r="C579" i="1"/>
  <c r="L578" i="1"/>
  <c r="E578" i="1"/>
  <c r="D578" i="1"/>
  <c r="C578" i="1"/>
  <c r="L577" i="1"/>
  <c r="J577" i="1"/>
  <c r="E577" i="1"/>
  <c r="D577" i="1"/>
  <c r="C577" i="1"/>
  <c r="L576" i="1"/>
  <c r="J576" i="1"/>
  <c r="E576" i="1"/>
  <c r="D576" i="1"/>
  <c r="C576" i="1"/>
  <c r="L575" i="1"/>
  <c r="E575" i="1"/>
  <c r="D575" i="1"/>
  <c r="C575" i="1"/>
  <c r="L574" i="1"/>
  <c r="J574" i="1"/>
  <c r="E574" i="1"/>
  <c r="D574" i="1"/>
  <c r="C574" i="1"/>
  <c r="L573" i="1"/>
  <c r="J573" i="1"/>
  <c r="E573" i="1"/>
  <c r="D573" i="1"/>
  <c r="C573" i="1"/>
  <c r="L572" i="1"/>
  <c r="J572" i="1"/>
  <c r="E572" i="1"/>
  <c r="D572" i="1"/>
  <c r="C572" i="1"/>
  <c r="L571" i="1"/>
  <c r="J571" i="1"/>
  <c r="E571" i="1"/>
  <c r="D571" i="1"/>
  <c r="C571" i="1"/>
  <c r="L570" i="1"/>
  <c r="J570" i="1"/>
  <c r="E570" i="1"/>
  <c r="D570" i="1"/>
  <c r="C570" i="1"/>
  <c r="L569" i="1"/>
  <c r="J569" i="1"/>
  <c r="E569" i="1"/>
  <c r="D569" i="1"/>
  <c r="C569" i="1"/>
  <c r="L568" i="1"/>
  <c r="E568" i="1"/>
  <c r="D568" i="1"/>
  <c r="C568" i="1"/>
  <c r="L567" i="1"/>
  <c r="E567" i="1"/>
  <c r="D567" i="1"/>
  <c r="C567" i="1"/>
  <c r="L566" i="1"/>
  <c r="J566" i="1"/>
  <c r="E566" i="1"/>
  <c r="D566" i="1"/>
  <c r="C566" i="1"/>
  <c r="L565" i="1"/>
  <c r="E565" i="1"/>
  <c r="D565" i="1"/>
  <c r="C565" i="1"/>
  <c r="L564" i="1"/>
  <c r="J564" i="1"/>
  <c r="E564" i="1"/>
  <c r="D564" i="1"/>
  <c r="C564" i="1"/>
  <c r="L563" i="1"/>
  <c r="J563" i="1"/>
  <c r="E563" i="1"/>
  <c r="D563" i="1"/>
  <c r="C563" i="1"/>
  <c r="L562" i="1"/>
  <c r="E562" i="1"/>
  <c r="D562" i="1"/>
  <c r="C562" i="1"/>
  <c r="L561" i="1"/>
  <c r="J561" i="1"/>
  <c r="E561" i="1"/>
  <c r="D561" i="1"/>
  <c r="C561" i="1"/>
  <c r="L560" i="1"/>
  <c r="J560" i="1"/>
  <c r="E560" i="1"/>
  <c r="D560" i="1"/>
  <c r="C560" i="1"/>
  <c r="L559" i="1"/>
  <c r="E559" i="1"/>
  <c r="D559" i="1"/>
  <c r="C559" i="1"/>
  <c r="L558" i="1"/>
  <c r="J558" i="1"/>
  <c r="E558" i="1"/>
  <c r="D558" i="1"/>
  <c r="C558" i="1"/>
  <c r="L557" i="1"/>
  <c r="J557" i="1"/>
  <c r="E557" i="1"/>
  <c r="D557" i="1"/>
  <c r="C557" i="1"/>
  <c r="L556" i="1"/>
  <c r="J556" i="1"/>
  <c r="E556" i="1"/>
  <c r="D556" i="1"/>
  <c r="C556" i="1"/>
  <c r="L555" i="1"/>
  <c r="J555" i="1"/>
  <c r="E555" i="1"/>
  <c r="D555" i="1"/>
  <c r="C555" i="1"/>
  <c r="L554" i="1"/>
  <c r="J554" i="1"/>
  <c r="E554" i="1"/>
  <c r="D554" i="1"/>
  <c r="C554" i="1"/>
  <c r="L553" i="1"/>
  <c r="J553" i="1"/>
  <c r="E553" i="1"/>
  <c r="D553" i="1"/>
  <c r="C553" i="1"/>
  <c r="L552" i="1"/>
  <c r="E552" i="1"/>
  <c r="D552" i="1"/>
  <c r="C552" i="1"/>
  <c r="L551" i="1"/>
  <c r="E551" i="1"/>
  <c r="D551" i="1"/>
  <c r="C551" i="1"/>
  <c r="L550" i="1"/>
  <c r="J550" i="1"/>
  <c r="E550" i="1"/>
  <c r="D550" i="1"/>
  <c r="C550" i="1"/>
  <c r="L549" i="1"/>
  <c r="E549" i="1"/>
  <c r="D549" i="1"/>
  <c r="C549" i="1"/>
  <c r="J548" i="1"/>
  <c r="E548" i="1"/>
  <c r="D548" i="1"/>
  <c r="C548" i="1"/>
  <c r="L547" i="1"/>
  <c r="J547" i="1"/>
  <c r="E547" i="1"/>
  <c r="D547" i="1"/>
  <c r="C547" i="1"/>
  <c r="L546" i="1"/>
  <c r="E546" i="1"/>
  <c r="D546" i="1"/>
  <c r="C546" i="1"/>
  <c r="L545" i="1"/>
  <c r="J545" i="1"/>
  <c r="E545" i="1"/>
  <c r="D545" i="1"/>
  <c r="C545" i="1"/>
  <c r="L544" i="1"/>
  <c r="J544" i="1"/>
  <c r="E544" i="1"/>
  <c r="D544" i="1"/>
  <c r="C544" i="1"/>
  <c r="L543" i="1"/>
  <c r="E543" i="1"/>
  <c r="D543" i="1"/>
  <c r="C543" i="1"/>
  <c r="L542" i="1"/>
  <c r="J542" i="1"/>
  <c r="E542" i="1"/>
  <c r="D542" i="1"/>
  <c r="C542" i="1"/>
  <c r="L541" i="1"/>
  <c r="J541" i="1"/>
  <c r="E541" i="1"/>
  <c r="D541" i="1"/>
  <c r="C541" i="1"/>
  <c r="L540" i="1"/>
  <c r="J540" i="1"/>
  <c r="E540" i="1"/>
  <c r="D540" i="1"/>
  <c r="C540" i="1"/>
  <c r="L539" i="1"/>
  <c r="J539" i="1"/>
  <c r="E539" i="1"/>
  <c r="D539" i="1"/>
  <c r="C539" i="1"/>
  <c r="L538" i="1"/>
  <c r="J538" i="1"/>
  <c r="E538" i="1"/>
  <c r="D538" i="1"/>
  <c r="C538" i="1"/>
  <c r="L537" i="1"/>
  <c r="E537" i="1"/>
  <c r="D537" i="1"/>
  <c r="C537" i="1"/>
  <c r="L536" i="1"/>
  <c r="E536" i="1"/>
  <c r="D536" i="1"/>
  <c r="C536" i="1"/>
  <c r="L535" i="1"/>
  <c r="E535" i="1"/>
  <c r="D535" i="1"/>
  <c r="C535" i="1"/>
  <c r="L534" i="1"/>
  <c r="E534" i="1"/>
  <c r="D534" i="1"/>
  <c r="C534" i="1"/>
  <c r="L533" i="1"/>
  <c r="J533" i="1"/>
  <c r="E533" i="1"/>
  <c r="D533" i="1"/>
  <c r="C533" i="1"/>
  <c r="L532" i="1"/>
  <c r="E532" i="1"/>
  <c r="D532" i="1"/>
  <c r="C532" i="1"/>
  <c r="L531" i="1"/>
  <c r="J531" i="1"/>
  <c r="E531" i="1"/>
  <c r="D531" i="1"/>
  <c r="C531" i="1"/>
  <c r="L530" i="1"/>
  <c r="J530" i="1"/>
  <c r="E530" i="1"/>
  <c r="D530" i="1"/>
  <c r="C530" i="1"/>
  <c r="L529" i="1"/>
  <c r="J529" i="1"/>
  <c r="E529" i="1"/>
  <c r="D529" i="1"/>
  <c r="C529" i="1"/>
  <c r="L528" i="1"/>
  <c r="J528" i="1"/>
  <c r="E528" i="1"/>
  <c r="D528" i="1"/>
  <c r="C528" i="1"/>
  <c r="L527" i="1"/>
  <c r="E527" i="1"/>
  <c r="D527" i="1"/>
  <c r="C527" i="1"/>
  <c r="L526" i="1"/>
  <c r="J526" i="1"/>
  <c r="E526" i="1"/>
  <c r="D526" i="1"/>
  <c r="C526" i="1"/>
  <c r="L525" i="1"/>
  <c r="J525" i="1"/>
  <c r="E525" i="1"/>
  <c r="D525" i="1"/>
  <c r="C525" i="1"/>
  <c r="L524" i="1"/>
  <c r="E524" i="1"/>
  <c r="D524" i="1"/>
  <c r="C524" i="1"/>
  <c r="L523" i="1"/>
  <c r="J523" i="1"/>
  <c r="E523" i="1"/>
  <c r="D523" i="1"/>
  <c r="C523" i="1"/>
  <c r="L522" i="1"/>
  <c r="J522" i="1"/>
  <c r="E522" i="1"/>
  <c r="D522" i="1"/>
  <c r="C522" i="1"/>
  <c r="L521" i="1"/>
  <c r="J521" i="1"/>
  <c r="E521" i="1"/>
  <c r="D521" i="1"/>
  <c r="C521" i="1"/>
  <c r="L520" i="1"/>
  <c r="J520" i="1"/>
  <c r="E520" i="1"/>
  <c r="D520" i="1"/>
  <c r="C520" i="1"/>
  <c r="L519" i="1"/>
  <c r="E519" i="1"/>
  <c r="D519" i="1"/>
  <c r="C519" i="1"/>
  <c r="E518" i="1"/>
  <c r="D518" i="1"/>
  <c r="C518" i="1"/>
  <c r="L517" i="1"/>
  <c r="J517" i="1"/>
  <c r="E517" i="1"/>
  <c r="D517" i="1"/>
  <c r="C517" i="1"/>
  <c r="L516" i="1"/>
  <c r="J516" i="1"/>
  <c r="E516" i="1"/>
  <c r="D516" i="1"/>
  <c r="C516" i="1"/>
  <c r="L515" i="1"/>
  <c r="J515" i="1"/>
  <c r="E515" i="1"/>
  <c r="D515" i="1"/>
  <c r="C515" i="1"/>
  <c r="L514" i="1"/>
  <c r="E514" i="1"/>
  <c r="D514" i="1"/>
  <c r="C514" i="1"/>
  <c r="L513" i="1"/>
  <c r="J513" i="1"/>
  <c r="E513" i="1"/>
  <c r="D513" i="1"/>
  <c r="C513" i="1"/>
  <c r="L512" i="1"/>
  <c r="J512" i="1"/>
  <c r="E512" i="1"/>
  <c r="D512" i="1"/>
  <c r="C512" i="1"/>
  <c r="L511" i="1"/>
  <c r="E511" i="1"/>
  <c r="D511" i="1"/>
  <c r="C511" i="1"/>
  <c r="L510" i="1"/>
  <c r="J510" i="1"/>
  <c r="E510" i="1"/>
  <c r="D510" i="1"/>
  <c r="C510" i="1"/>
  <c r="L509" i="1"/>
  <c r="J509" i="1"/>
  <c r="E509" i="1"/>
  <c r="D509" i="1"/>
  <c r="C509" i="1"/>
  <c r="L508" i="1"/>
  <c r="E508" i="1"/>
  <c r="D508" i="1"/>
  <c r="C508" i="1"/>
  <c r="L507" i="1"/>
  <c r="J507" i="1"/>
  <c r="E507" i="1"/>
  <c r="D507" i="1"/>
  <c r="C507" i="1"/>
  <c r="L506" i="1"/>
  <c r="J506" i="1"/>
  <c r="E506" i="1"/>
  <c r="D506" i="1"/>
  <c r="C506" i="1"/>
  <c r="L505" i="1"/>
  <c r="J505" i="1"/>
  <c r="E505" i="1"/>
  <c r="D505" i="1"/>
  <c r="C505" i="1"/>
  <c r="L504" i="1"/>
  <c r="J504" i="1"/>
  <c r="E504" i="1"/>
  <c r="D504" i="1"/>
  <c r="C504" i="1"/>
  <c r="L503" i="1"/>
  <c r="E503" i="1"/>
  <c r="D503" i="1"/>
  <c r="C503" i="1"/>
  <c r="L502" i="1"/>
  <c r="E502" i="1"/>
  <c r="D502" i="1"/>
  <c r="C502" i="1"/>
  <c r="L501" i="1"/>
  <c r="J501" i="1"/>
  <c r="E501" i="1"/>
  <c r="D501" i="1"/>
  <c r="C501" i="1"/>
  <c r="L500" i="1"/>
  <c r="E500" i="1"/>
  <c r="D500" i="1"/>
  <c r="C500" i="1"/>
  <c r="L499" i="1"/>
  <c r="J499" i="1"/>
  <c r="E499" i="1"/>
  <c r="D499" i="1"/>
  <c r="C499" i="1"/>
  <c r="L498" i="1"/>
  <c r="J498" i="1"/>
  <c r="E498" i="1"/>
  <c r="D498" i="1"/>
  <c r="C498" i="1"/>
  <c r="L497" i="1"/>
  <c r="J497" i="1"/>
  <c r="E497" i="1"/>
  <c r="D497" i="1"/>
  <c r="C497" i="1"/>
  <c r="L496" i="1"/>
  <c r="J496" i="1"/>
  <c r="E496" i="1"/>
  <c r="D496" i="1"/>
  <c r="C496" i="1"/>
  <c r="L495" i="1"/>
  <c r="E495" i="1"/>
  <c r="D495" i="1"/>
  <c r="C495" i="1"/>
  <c r="L494" i="1"/>
  <c r="E494" i="1"/>
  <c r="D494" i="1"/>
  <c r="C494" i="1"/>
  <c r="L493" i="1"/>
  <c r="J493" i="1"/>
  <c r="E493" i="1"/>
  <c r="D493" i="1"/>
  <c r="C493" i="1"/>
  <c r="L492" i="1"/>
  <c r="E492" i="1"/>
  <c r="D492" i="1"/>
  <c r="C492" i="1"/>
  <c r="L491" i="1"/>
  <c r="J491" i="1"/>
  <c r="E491" i="1"/>
  <c r="D491" i="1"/>
  <c r="C491" i="1"/>
  <c r="L490" i="1"/>
  <c r="J490" i="1"/>
  <c r="E490" i="1"/>
  <c r="D490" i="1"/>
  <c r="C490" i="1"/>
  <c r="L489" i="1"/>
  <c r="J489" i="1"/>
  <c r="E489" i="1"/>
  <c r="D489" i="1"/>
  <c r="C489" i="1"/>
  <c r="L488" i="1"/>
  <c r="J488" i="1"/>
  <c r="E488" i="1"/>
  <c r="D488" i="1"/>
  <c r="C488" i="1"/>
  <c r="E487" i="1"/>
  <c r="D487" i="1"/>
  <c r="C487" i="1"/>
  <c r="L486" i="1"/>
  <c r="E486" i="1"/>
  <c r="D486" i="1"/>
  <c r="C486" i="1"/>
  <c r="L485" i="1"/>
  <c r="J485" i="1"/>
  <c r="E485" i="1"/>
  <c r="D485" i="1"/>
  <c r="C485" i="1"/>
  <c r="L484" i="1"/>
  <c r="E484" i="1"/>
  <c r="D484" i="1"/>
  <c r="C484" i="1"/>
  <c r="L483" i="1"/>
  <c r="J483" i="1"/>
  <c r="E483" i="1"/>
  <c r="D483" i="1"/>
  <c r="C483" i="1"/>
  <c r="L482" i="1"/>
  <c r="J482" i="1"/>
  <c r="E482" i="1"/>
  <c r="D482" i="1"/>
  <c r="C482" i="1"/>
  <c r="L481" i="1"/>
  <c r="J481" i="1"/>
  <c r="E481" i="1"/>
  <c r="D481" i="1"/>
  <c r="C481" i="1"/>
  <c r="L480" i="1"/>
  <c r="J480" i="1"/>
  <c r="E480" i="1"/>
  <c r="D480" i="1"/>
  <c r="C480" i="1"/>
  <c r="L479" i="1"/>
  <c r="E479" i="1"/>
  <c r="D479" i="1"/>
  <c r="C479" i="1"/>
  <c r="L478" i="1"/>
  <c r="E478" i="1"/>
  <c r="D478" i="1"/>
  <c r="C478" i="1"/>
  <c r="L477" i="1"/>
  <c r="J477" i="1"/>
  <c r="E477" i="1"/>
  <c r="D477" i="1"/>
  <c r="C477" i="1"/>
  <c r="L476" i="1"/>
  <c r="E476" i="1"/>
  <c r="D476" i="1"/>
  <c r="C476" i="1"/>
  <c r="L475" i="1"/>
  <c r="J475" i="1"/>
  <c r="E475" i="1"/>
  <c r="D475" i="1"/>
  <c r="C475" i="1"/>
  <c r="L474" i="1"/>
  <c r="J474" i="1"/>
  <c r="E474" i="1"/>
  <c r="D474" i="1"/>
  <c r="C474" i="1"/>
  <c r="L473" i="1"/>
  <c r="J473" i="1"/>
  <c r="E473" i="1"/>
  <c r="D473" i="1"/>
  <c r="C473" i="1"/>
  <c r="L472" i="1"/>
  <c r="J472" i="1"/>
  <c r="E472" i="1"/>
  <c r="D472" i="1"/>
  <c r="C472" i="1"/>
  <c r="L471" i="1"/>
  <c r="E471" i="1"/>
  <c r="D471" i="1"/>
  <c r="C471" i="1"/>
  <c r="L470" i="1"/>
  <c r="E470" i="1"/>
  <c r="D470" i="1"/>
  <c r="C470" i="1"/>
  <c r="L469" i="1"/>
  <c r="J469" i="1"/>
  <c r="E469" i="1"/>
  <c r="D469" i="1"/>
  <c r="C469" i="1"/>
  <c r="L468" i="1"/>
  <c r="E468" i="1"/>
  <c r="D468" i="1"/>
  <c r="C468" i="1"/>
  <c r="L467" i="1"/>
  <c r="J467" i="1"/>
  <c r="E467" i="1"/>
  <c r="D467" i="1"/>
  <c r="C467" i="1"/>
  <c r="L466" i="1"/>
  <c r="J466" i="1"/>
  <c r="E466" i="1"/>
  <c r="D466" i="1"/>
  <c r="C466" i="1"/>
  <c r="L465" i="1"/>
  <c r="J465" i="1"/>
  <c r="E465" i="1"/>
  <c r="D465" i="1"/>
  <c r="C465" i="1"/>
  <c r="L464" i="1"/>
  <c r="J464" i="1"/>
  <c r="E464" i="1"/>
  <c r="D464" i="1"/>
  <c r="C464" i="1"/>
  <c r="L463" i="1"/>
  <c r="E463" i="1"/>
  <c r="D463" i="1"/>
  <c r="C463" i="1"/>
  <c r="L462" i="1"/>
  <c r="E462" i="1"/>
  <c r="D462" i="1"/>
  <c r="C462" i="1"/>
  <c r="L461" i="1"/>
  <c r="J461" i="1"/>
  <c r="E461" i="1"/>
  <c r="D461" i="1"/>
  <c r="C461" i="1"/>
  <c r="L460" i="1"/>
  <c r="E460" i="1"/>
  <c r="D460" i="1"/>
  <c r="C460" i="1"/>
  <c r="L459" i="1"/>
  <c r="J459" i="1"/>
  <c r="E459" i="1"/>
  <c r="D459" i="1"/>
  <c r="C459" i="1"/>
  <c r="L458" i="1"/>
  <c r="J458" i="1"/>
  <c r="E458" i="1"/>
  <c r="D458" i="1"/>
  <c r="C458" i="1"/>
  <c r="J457" i="1"/>
  <c r="E457" i="1"/>
  <c r="D457" i="1"/>
  <c r="C457" i="1"/>
  <c r="L456" i="1"/>
  <c r="J456" i="1"/>
  <c r="E456" i="1"/>
  <c r="D456" i="1"/>
  <c r="C456" i="1"/>
  <c r="L455" i="1"/>
  <c r="E455" i="1"/>
  <c r="D455" i="1"/>
  <c r="C455" i="1"/>
  <c r="L454" i="1"/>
  <c r="E454" i="1"/>
  <c r="D454" i="1"/>
  <c r="C454" i="1"/>
  <c r="L453" i="1"/>
  <c r="J453" i="1"/>
  <c r="E453" i="1"/>
  <c r="D453" i="1"/>
  <c r="C453" i="1"/>
  <c r="L452" i="1"/>
  <c r="E452" i="1"/>
  <c r="D452" i="1"/>
  <c r="C452" i="1"/>
  <c r="L451" i="1"/>
  <c r="J451" i="1"/>
  <c r="E451" i="1"/>
  <c r="D451" i="1"/>
  <c r="C451" i="1"/>
  <c r="L450" i="1"/>
  <c r="J450" i="1"/>
  <c r="E450" i="1"/>
  <c r="D450" i="1"/>
  <c r="C450" i="1"/>
  <c r="J449" i="1"/>
  <c r="E449" i="1"/>
  <c r="D449" i="1"/>
  <c r="C449" i="1"/>
  <c r="L448" i="1"/>
  <c r="E448" i="1"/>
  <c r="D448" i="1"/>
  <c r="C448" i="1"/>
  <c r="J447" i="1"/>
  <c r="E447" i="1"/>
  <c r="D447" i="1"/>
  <c r="C447" i="1"/>
  <c r="L446" i="1"/>
  <c r="J446" i="1"/>
  <c r="E446" i="1"/>
  <c r="D446" i="1"/>
  <c r="C446" i="1"/>
  <c r="L445" i="1"/>
  <c r="E445" i="1"/>
  <c r="D445" i="1"/>
  <c r="C445" i="1"/>
  <c r="L444" i="1"/>
  <c r="J444" i="1"/>
  <c r="E444" i="1"/>
  <c r="D444" i="1"/>
  <c r="C444" i="1"/>
  <c r="L443" i="1"/>
  <c r="J443" i="1"/>
  <c r="E443" i="1"/>
  <c r="D443" i="1"/>
  <c r="C443" i="1"/>
  <c r="L442" i="1"/>
  <c r="J442" i="1"/>
  <c r="E442" i="1"/>
  <c r="D442" i="1"/>
  <c r="C442" i="1"/>
  <c r="L441" i="1"/>
  <c r="E441" i="1"/>
  <c r="D441" i="1"/>
  <c r="C441" i="1"/>
  <c r="L440" i="1"/>
  <c r="J440" i="1"/>
  <c r="E440" i="1"/>
  <c r="D440" i="1"/>
  <c r="C440" i="1"/>
  <c r="L439" i="1"/>
  <c r="J439" i="1"/>
  <c r="E439" i="1"/>
  <c r="D439" i="1"/>
  <c r="C439" i="1"/>
  <c r="L438" i="1"/>
  <c r="J438" i="1"/>
  <c r="E438" i="1"/>
  <c r="D438" i="1"/>
  <c r="C438" i="1"/>
  <c r="L437" i="1"/>
  <c r="E437" i="1"/>
  <c r="D437" i="1"/>
  <c r="C437" i="1"/>
  <c r="L436" i="1"/>
  <c r="J436" i="1"/>
  <c r="E436" i="1"/>
  <c r="D436" i="1"/>
  <c r="C436" i="1"/>
  <c r="L435" i="1"/>
  <c r="J435" i="1"/>
  <c r="E435" i="1"/>
  <c r="D435" i="1"/>
  <c r="C435" i="1"/>
  <c r="L434" i="1"/>
  <c r="J434" i="1"/>
  <c r="E434" i="1"/>
  <c r="D434" i="1"/>
  <c r="C434" i="1"/>
  <c r="L433" i="1"/>
  <c r="E433" i="1"/>
  <c r="D433" i="1"/>
  <c r="C433" i="1"/>
  <c r="L432" i="1"/>
  <c r="J432" i="1"/>
  <c r="E432" i="1"/>
  <c r="D432" i="1"/>
  <c r="C432" i="1"/>
  <c r="L431" i="1"/>
  <c r="J431" i="1"/>
  <c r="E431" i="1"/>
  <c r="D431" i="1"/>
  <c r="C431" i="1"/>
  <c r="L430" i="1"/>
  <c r="E430" i="1"/>
  <c r="D430" i="1"/>
  <c r="C430" i="1"/>
  <c r="L429" i="1"/>
  <c r="J429" i="1"/>
  <c r="E429" i="1"/>
  <c r="D429" i="1"/>
  <c r="C429" i="1"/>
  <c r="L428" i="1"/>
  <c r="E428" i="1"/>
  <c r="D428" i="1"/>
  <c r="C428" i="1"/>
  <c r="L427" i="1"/>
  <c r="J427" i="1"/>
  <c r="E427" i="1"/>
  <c r="D427" i="1"/>
  <c r="C427" i="1"/>
  <c r="E426" i="1"/>
  <c r="D426" i="1"/>
  <c r="C426" i="1"/>
  <c r="L425" i="1"/>
  <c r="J425" i="1"/>
  <c r="E425" i="1"/>
  <c r="D425" i="1"/>
  <c r="C425" i="1"/>
  <c r="L424" i="1"/>
  <c r="E424" i="1"/>
  <c r="D424" i="1"/>
  <c r="C424" i="1"/>
  <c r="L423" i="1"/>
  <c r="J423" i="1"/>
  <c r="E423" i="1"/>
  <c r="D423" i="1"/>
  <c r="C423" i="1"/>
  <c r="L422" i="1"/>
  <c r="E422" i="1"/>
  <c r="D422" i="1"/>
  <c r="C422" i="1"/>
  <c r="L421" i="1"/>
  <c r="J421" i="1"/>
  <c r="E421" i="1"/>
  <c r="D421" i="1"/>
  <c r="C421" i="1"/>
  <c r="L420" i="1"/>
  <c r="E420" i="1"/>
  <c r="D420" i="1"/>
  <c r="C420" i="1"/>
  <c r="L419" i="1"/>
  <c r="J419" i="1"/>
  <c r="E419" i="1"/>
  <c r="D419" i="1"/>
  <c r="C419" i="1"/>
  <c r="L418" i="1"/>
  <c r="E418" i="1"/>
  <c r="D418" i="1"/>
  <c r="C418" i="1"/>
  <c r="L417" i="1"/>
  <c r="J417" i="1"/>
  <c r="E417" i="1"/>
  <c r="D417" i="1"/>
  <c r="C417" i="1"/>
  <c r="L416" i="1"/>
  <c r="E416" i="1"/>
  <c r="D416" i="1"/>
  <c r="C416" i="1"/>
  <c r="L415" i="1"/>
  <c r="J415" i="1"/>
  <c r="E415" i="1"/>
  <c r="D415" i="1"/>
  <c r="C415" i="1"/>
  <c r="L414" i="1"/>
  <c r="E414" i="1"/>
  <c r="D414" i="1"/>
  <c r="C414" i="1"/>
  <c r="L413" i="1"/>
  <c r="J413" i="1"/>
  <c r="E413" i="1"/>
  <c r="D413" i="1"/>
  <c r="C413" i="1"/>
  <c r="L412" i="1"/>
  <c r="E412" i="1"/>
  <c r="D412" i="1"/>
  <c r="C412" i="1"/>
  <c r="L411" i="1"/>
  <c r="J411" i="1"/>
  <c r="E411" i="1"/>
  <c r="D411" i="1"/>
  <c r="C411" i="1"/>
  <c r="L410" i="1"/>
  <c r="J410" i="1"/>
  <c r="E410" i="1"/>
  <c r="D410" i="1"/>
  <c r="C410" i="1"/>
  <c r="L409" i="1"/>
  <c r="J409" i="1"/>
  <c r="E409" i="1"/>
  <c r="D409" i="1"/>
  <c r="C409" i="1"/>
  <c r="L408" i="1"/>
  <c r="J408" i="1"/>
  <c r="E408" i="1"/>
  <c r="D408" i="1"/>
  <c r="C408" i="1"/>
  <c r="L407" i="1"/>
  <c r="J407" i="1"/>
  <c r="E407" i="1"/>
  <c r="D407" i="1"/>
  <c r="C407" i="1"/>
  <c r="L406" i="1"/>
  <c r="J406" i="1"/>
  <c r="E406" i="1"/>
  <c r="D406" i="1"/>
  <c r="C406" i="1"/>
  <c r="L405" i="1"/>
  <c r="J405" i="1"/>
  <c r="E405" i="1"/>
  <c r="D405" i="1"/>
  <c r="C405" i="1"/>
  <c r="L404" i="1"/>
  <c r="J404" i="1"/>
  <c r="E404" i="1"/>
  <c r="D404" i="1"/>
  <c r="C404" i="1"/>
  <c r="L403" i="1"/>
  <c r="J403" i="1"/>
  <c r="E403" i="1"/>
  <c r="D403" i="1"/>
  <c r="C403" i="1"/>
  <c r="L402" i="1"/>
  <c r="J402" i="1"/>
  <c r="E402" i="1"/>
  <c r="D402" i="1"/>
  <c r="C402" i="1"/>
  <c r="L401" i="1"/>
  <c r="J401" i="1"/>
  <c r="E401" i="1"/>
  <c r="D401" i="1"/>
  <c r="C401" i="1"/>
  <c r="L400" i="1"/>
  <c r="J400" i="1"/>
  <c r="E400" i="1"/>
  <c r="D400" i="1"/>
  <c r="C400" i="1"/>
  <c r="L399" i="1"/>
  <c r="J399" i="1"/>
  <c r="E399" i="1"/>
  <c r="D399" i="1"/>
  <c r="C399" i="1"/>
  <c r="J398" i="1"/>
  <c r="E398" i="1"/>
  <c r="D398" i="1"/>
  <c r="C398" i="1"/>
  <c r="L397" i="1"/>
  <c r="J397" i="1"/>
  <c r="E397" i="1"/>
  <c r="D397" i="1"/>
  <c r="C397" i="1"/>
  <c r="L396" i="1"/>
  <c r="J396" i="1"/>
  <c r="E396" i="1"/>
  <c r="D396" i="1"/>
  <c r="C396" i="1"/>
  <c r="L395" i="1"/>
  <c r="J395" i="1"/>
  <c r="E395" i="1"/>
  <c r="D395" i="1"/>
  <c r="C395" i="1"/>
  <c r="L394" i="1"/>
  <c r="J394" i="1"/>
  <c r="E394" i="1"/>
  <c r="D394" i="1"/>
  <c r="C394" i="1"/>
  <c r="L393" i="1"/>
  <c r="E393" i="1"/>
  <c r="D393" i="1"/>
  <c r="C393" i="1"/>
  <c r="L392" i="1"/>
  <c r="J392" i="1"/>
  <c r="E392" i="1"/>
  <c r="D392" i="1"/>
  <c r="C392" i="1"/>
  <c r="L391" i="1"/>
  <c r="E391" i="1"/>
  <c r="D391" i="1"/>
  <c r="C391" i="1"/>
  <c r="L390" i="1"/>
  <c r="J390" i="1"/>
  <c r="E390" i="1"/>
  <c r="D390" i="1"/>
  <c r="C390" i="1"/>
  <c r="L389" i="1"/>
  <c r="E389" i="1"/>
  <c r="D389" i="1"/>
  <c r="C389" i="1"/>
  <c r="L388" i="1"/>
  <c r="E388" i="1"/>
  <c r="D388" i="1"/>
  <c r="C388" i="1"/>
  <c r="L387" i="1"/>
  <c r="E387" i="1"/>
  <c r="D387" i="1"/>
  <c r="C387" i="1"/>
  <c r="L386" i="1"/>
  <c r="J386" i="1"/>
  <c r="E386" i="1"/>
  <c r="D386" i="1"/>
  <c r="C386" i="1"/>
  <c r="L385" i="1"/>
  <c r="E385" i="1"/>
  <c r="D385" i="1"/>
  <c r="C385" i="1"/>
  <c r="L384" i="1"/>
  <c r="E384" i="1"/>
  <c r="D384" i="1"/>
  <c r="C384" i="1"/>
  <c r="L383" i="1"/>
  <c r="J383" i="1"/>
  <c r="E383" i="1"/>
  <c r="D383" i="1"/>
  <c r="C383" i="1"/>
  <c r="L382" i="1"/>
  <c r="J382" i="1"/>
  <c r="E382" i="1"/>
  <c r="D382" i="1"/>
  <c r="C382" i="1"/>
  <c r="L381" i="1"/>
  <c r="E381" i="1"/>
  <c r="D381" i="1"/>
  <c r="C381" i="1"/>
  <c r="L380" i="1"/>
  <c r="J380" i="1"/>
  <c r="E380" i="1"/>
  <c r="D380" i="1"/>
  <c r="C380" i="1"/>
  <c r="L379" i="1"/>
  <c r="J379" i="1"/>
  <c r="E379" i="1"/>
  <c r="D379" i="1"/>
  <c r="C379" i="1"/>
  <c r="L378" i="1"/>
  <c r="J378" i="1"/>
  <c r="E378" i="1"/>
  <c r="D378" i="1"/>
  <c r="C378" i="1"/>
  <c r="L377" i="1"/>
  <c r="E377" i="1"/>
  <c r="D377" i="1"/>
  <c r="C377" i="1"/>
  <c r="L376" i="1"/>
  <c r="E376" i="1"/>
  <c r="D376" i="1"/>
  <c r="C376" i="1"/>
  <c r="L375" i="1"/>
  <c r="E375" i="1"/>
  <c r="D375" i="1"/>
  <c r="C375" i="1"/>
  <c r="L374" i="1"/>
  <c r="J374" i="1"/>
  <c r="E374" i="1"/>
  <c r="D374" i="1"/>
  <c r="C374" i="1"/>
  <c r="L373" i="1"/>
  <c r="J373" i="1"/>
  <c r="E373" i="1"/>
  <c r="D373" i="1"/>
  <c r="C373" i="1"/>
  <c r="L372" i="1"/>
  <c r="E372" i="1"/>
  <c r="D372" i="1"/>
  <c r="C372" i="1"/>
  <c r="L371" i="1"/>
  <c r="J371" i="1"/>
  <c r="E371" i="1"/>
  <c r="D371" i="1"/>
  <c r="C371" i="1"/>
  <c r="L370" i="1"/>
  <c r="J370" i="1"/>
  <c r="E370" i="1"/>
  <c r="D370" i="1"/>
  <c r="C370" i="1"/>
  <c r="L369" i="1"/>
  <c r="J369" i="1"/>
  <c r="E369" i="1"/>
  <c r="D369" i="1"/>
  <c r="C369" i="1"/>
  <c r="L368" i="1"/>
  <c r="E368" i="1"/>
  <c r="D368" i="1"/>
  <c r="C368" i="1"/>
  <c r="E367" i="1"/>
  <c r="D367" i="1"/>
  <c r="C367" i="1"/>
  <c r="L366" i="1"/>
  <c r="K366" i="1"/>
  <c r="M366" i="1" s="1"/>
  <c r="J366" i="1"/>
  <c r="E366" i="1"/>
  <c r="D366" i="1"/>
  <c r="C366" i="1"/>
  <c r="L365" i="1"/>
  <c r="K365" i="1"/>
  <c r="M365" i="1" s="1"/>
  <c r="J365" i="1"/>
  <c r="E365" i="1"/>
  <c r="D365" i="1"/>
  <c r="C365" i="1"/>
  <c r="L364" i="1"/>
  <c r="K364" i="1"/>
  <c r="M364" i="1" s="1"/>
  <c r="J364" i="1"/>
  <c r="E364" i="1"/>
  <c r="D364" i="1"/>
  <c r="C364" i="1"/>
  <c r="L363" i="1"/>
  <c r="K363" i="1"/>
  <c r="M363" i="1" s="1"/>
  <c r="J363" i="1"/>
  <c r="E363" i="1"/>
  <c r="D363" i="1"/>
  <c r="C363" i="1"/>
  <c r="L362" i="1"/>
  <c r="K362" i="1"/>
  <c r="M362" i="1" s="1"/>
  <c r="J362" i="1"/>
  <c r="E362" i="1"/>
  <c r="D362" i="1"/>
  <c r="C362" i="1"/>
  <c r="L361" i="1"/>
  <c r="K361" i="1"/>
  <c r="M361" i="1" s="1"/>
  <c r="J361" i="1"/>
  <c r="E361" i="1"/>
  <c r="D361" i="1"/>
  <c r="C361" i="1"/>
  <c r="L360" i="1"/>
  <c r="K360" i="1"/>
  <c r="M360" i="1" s="1"/>
  <c r="J360" i="1"/>
  <c r="E360" i="1"/>
  <c r="D360" i="1"/>
  <c r="C360" i="1"/>
  <c r="L359" i="1"/>
  <c r="K359" i="1"/>
  <c r="M359" i="1" s="1"/>
  <c r="J359" i="1"/>
  <c r="E359" i="1"/>
  <c r="D359" i="1"/>
  <c r="C359" i="1"/>
  <c r="M358" i="1"/>
  <c r="L358" i="1"/>
  <c r="K358" i="1"/>
  <c r="J358" i="1"/>
  <c r="E358" i="1"/>
  <c r="D358" i="1"/>
  <c r="C358" i="1"/>
  <c r="L357" i="1"/>
  <c r="K357" i="1"/>
  <c r="M357" i="1" s="1"/>
  <c r="J357" i="1"/>
  <c r="E357" i="1"/>
  <c r="D357" i="1"/>
  <c r="C357" i="1"/>
  <c r="L356" i="1"/>
  <c r="K356" i="1"/>
  <c r="M356" i="1" s="1"/>
  <c r="J356" i="1"/>
  <c r="E356" i="1"/>
  <c r="D356" i="1"/>
  <c r="C356" i="1"/>
  <c r="M355" i="1"/>
  <c r="L355" i="1"/>
  <c r="K355" i="1"/>
  <c r="J355" i="1"/>
  <c r="E355" i="1"/>
  <c r="D355" i="1"/>
  <c r="C355" i="1"/>
  <c r="L354" i="1"/>
  <c r="K354" i="1"/>
  <c r="M354" i="1" s="1"/>
  <c r="J354" i="1"/>
  <c r="E354" i="1"/>
  <c r="D354" i="1"/>
  <c r="C354" i="1"/>
  <c r="L353" i="1"/>
  <c r="K353" i="1"/>
  <c r="M353" i="1" s="1"/>
  <c r="J353" i="1"/>
  <c r="E353" i="1"/>
  <c r="D353" i="1"/>
  <c r="C353" i="1"/>
  <c r="L352" i="1"/>
  <c r="K352" i="1"/>
  <c r="M352" i="1" s="1"/>
  <c r="J352" i="1"/>
  <c r="E352" i="1"/>
  <c r="D352" i="1"/>
  <c r="C352" i="1"/>
  <c r="L351" i="1"/>
  <c r="K351" i="1"/>
  <c r="M351" i="1" s="1"/>
  <c r="J351" i="1"/>
  <c r="E351" i="1"/>
  <c r="D351" i="1"/>
  <c r="C351" i="1"/>
  <c r="L350" i="1"/>
  <c r="K350" i="1"/>
  <c r="M350" i="1" s="1"/>
  <c r="J350" i="1"/>
  <c r="E350" i="1"/>
  <c r="D350" i="1"/>
  <c r="C350" i="1"/>
  <c r="L349" i="1"/>
  <c r="K349" i="1"/>
  <c r="M349" i="1" s="1"/>
  <c r="J349" i="1"/>
  <c r="E349" i="1"/>
  <c r="D349" i="1"/>
  <c r="C349" i="1"/>
  <c r="L348" i="1"/>
  <c r="K348" i="1"/>
  <c r="M348" i="1" s="1"/>
  <c r="J348" i="1"/>
  <c r="E348" i="1"/>
  <c r="D348" i="1"/>
  <c r="C348" i="1"/>
  <c r="L347" i="1"/>
  <c r="K347" i="1"/>
  <c r="M347" i="1" s="1"/>
  <c r="J347" i="1"/>
  <c r="E347" i="1"/>
  <c r="D347" i="1"/>
  <c r="C347" i="1"/>
  <c r="L346" i="1"/>
  <c r="K346" i="1"/>
  <c r="M346" i="1" s="1"/>
  <c r="J346" i="1"/>
  <c r="E346" i="1"/>
  <c r="D346" i="1"/>
  <c r="C346" i="1"/>
  <c r="L345" i="1"/>
  <c r="K345" i="1"/>
  <c r="M345" i="1" s="1"/>
  <c r="J345" i="1"/>
  <c r="E345" i="1"/>
  <c r="D345" i="1"/>
  <c r="C345" i="1"/>
  <c r="L344" i="1"/>
  <c r="K344" i="1"/>
  <c r="M344" i="1" s="1"/>
  <c r="J344" i="1"/>
  <c r="E344" i="1"/>
  <c r="D344" i="1"/>
  <c r="C344" i="1"/>
  <c r="L343" i="1"/>
  <c r="K343" i="1"/>
  <c r="M343" i="1" s="1"/>
  <c r="J343" i="1"/>
  <c r="E343" i="1"/>
  <c r="D343" i="1"/>
  <c r="C343" i="1"/>
  <c r="M342" i="1"/>
  <c r="L342" i="1"/>
  <c r="K342" i="1"/>
  <c r="J342" i="1"/>
  <c r="E342" i="1"/>
  <c r="D342" i="1"/>
  <c r="C342" i="1"/>
  <c r="L341" i="1"/>
  <c r="K341" i="1"/>
  <c r="M341" i="1" s="1"/>
  <c r="J341" i="1"/>
  <c r="E341" i="1"/>
  <c r="D341" i="1"/>
  <c r="C341" i="1"/>
  <c r="L340" i="1"/>
  <c r="K340" i="1"/>
  <c r="M340" i="1" s="1"/>
  <c r="J340" i="1"/>
  <c r="E340" i="1"/>
  <c r="D340" i="1"/>
  <c r="C340" i="1"/>
  <c r="M339" i="1"/>
  <c r="L339" i="1"/>
  <c r="K339" i="1"/>
  <c r="J339" i="1"/>
  <c r="E339" i="1"/>
  <c r="D339" i="1"/>
  <c r="C339" i="1"/>
  <c r="L338" i="1"/>
  <c r="K338" i="1"/>
  <c r="M338" i="1" s="1"/>
  <c r="J338" i="1"/>
  <c r="E338" i="1"/>
  <c r="D338" i="1"/>
  <c r="C338" i="1"/>
  <c r="L337" i="1"/>
  <c r="K337" i="1"/>
  <c r="M337" i="1" s="1"/>
  <c r="J337" i="1"/>
  <c r="E337" i="1"/>
  <c r="D337" i="1"/>
  <c r="C337" i="1"/>
  <c r="L336" i="1"/>
  <c r="K336" i="1"/>
  <c r="M336" i="1" s="1"/>
  <c r="J336" i="1"/>
  <c r="E336" i="1"/>
  <c r="D336" i="1"/>
  <c r="C336" i="1"/>
  <c r="L335" i="1"/>
  <c r="K335" i="1"/>
  <c r="M335" i="1" s="1"/>
  <c r="J335" i="1"/>
  <c r="E335" i="1"/>
  <c r="D335" i="1"/>
  <c r="C335" i="1"/>
  <c r="L334" i="1"/>
  <c r="K334" i="1"/>
  <c r="M334" i="1" s="1"/>
  <c r="J334" i="1"/>
  <c r="E334" i="1"/>
  <c r="D334" i="1"/>
  <c r="C334" i="1"/>
  <c r="L333" i="1"/>
  <c r="K333" i="1"/>
  <c r="M333" i="1" s="1"/>
  <c r="J333" i="1"/>
  <c r="E333" i="1"/>
  <c r="D333" i="1"/>
  <c r="C333" i="1"/>
  <c r="L332" i="1"/>
  <c r="K332" i="1"/>
  <c r="M332" i="1" s="1"/>
  <c r="J332" i="1"/>
  <c r="E332" i="1"/>
  <c r="D332" i="1"/>
  <c r="C332" i="1"/>
  <c r="L331" i="1"/>
  <c r="K331" i="1"/>
  <c r="M331" i="1" s="1"/>
  <c r="J331" i="1"/>
  <c r="E331" i="1"/>
  <c r="D331" i="1"/>
  <c r="C331" i="1"/>
  <c r="L330" i="1"/>
  <c r="K330" i="1"/>
  <c r="M330" i="1" s="1"/>
  <c r="J330" i="1"/>
  <c r="E330" i="1"/>
  <c r="D330" i="1"/>
  <c r="C330" i="1"/>
  <c r="L329" i="1"/>
  <c r="K329" i="1"/>
  <c r="M329" i="1" s="1"/>
  <c r="J329" i="1"/>
  <c r="E329" i="1"/>
  <c r="D329" i="1"/>
  <c r="C329" i="1"/>
  <c r="L328" i="1"/>
  <c r="K328" i="1"/>
  <c r="M328" i="1" s="1"/>
  <c r="J328" i="1"/>
  <c r="E328" i="1"/>
  <c r="D328" i="1"/>
  <c r="C328" i="1"/>
  <c r="L327" i="1"/>
  <c r="K327" i="1"/>
  <c r="M327" i="1" s="1"/>
  <c r="J327" i="1"/>
  <c r="E327" i="1"/>
  <c r="D327" i="1"/>
  <c r="C327" i="1"/>
  <c r="M326" i="1"/>
  <c r="L326" i="1"/>
  <c r="K326" i="1"/>
  <c r="J326" i="1"/>
  <c r="E326" i="1"/>
  <c r="D326" i="1"/>
  <c r="C326" i="1"/>
  <c r="L325" i="1"/>
  <c r="K325" i="1"/>
  <c r="M325" i="1" s="1"/>
  <c r="J325" i="1"/>
  <c r="E325" i="1"/>
  <c r="D325" i="1"/>
  <c r="C325" i="1"/>
  <c r="L324" i="1"/>
  <c r="K324" i="1"/>
  <c r="M324" i="1" s="1"/>
  <c r="J324" i="1"/>
  <c r="E324" i="1"/>
  <c r="D324" i="1"/>
  <c r="C324" i="1"/>
  <c r="M323" i="1"/>
  <c r="L323" i="1"/>
  <c r="K323" i="1"/>
  <c r="J323" i="1"/>
  <c r="E323" i="1"/>
  <c r="D323" i="1"/>
  <c r="C323" i="1"/>
  <c r="L322" i="1"/>
  <c r="K322" i="1"/>
  <c r="M322" i="1" s="1"/>
  <c r="J322" i="1"/>
  <c r="E322" i="1"/>
  <c r="D322" i="1"/>
  <c r="C322" i="1"/>
  <c r="L321" i="1"/>
  <c r="K321" i="1"/>
  <c r="M321" i="1" s="1"/>
  <c r="J321" i="1"/>
  <c r="E321" i="1"/>
  <c r="D321" i="1"/>
  <c r="C321" i="1"/>
  <c r="L320" i="1"/>
  <c r="K320" i="1"/>
  <c r="M320" i="1" s="1"/>
  <c r="J320" i="1"/>
  <c r="E320" i="1"/>
  <c r="D320" i="1"/>
  <c r="C320" i="1"/>
  <c r="L319" i="1"/>
  <c r="K319" i="1"/>
  <c r="M319" i="1" s="1"/>
  <c r="J319" i="1"/>
  <c r="E319" i="1"/>
  <c r="D319" i="1"/>
  <c r="C319" i="1"/>
  <c r="L318" i="1"/>
  <c r="K318" i="1"/>
  <c r="M318" i="1" s="1"/>
  <c r="J318" i="1"/>
  <c r="E318" i="1"/>
  <c r="D318" i="1"/>
  <c r="C318" i="1"/>
  <c r="L317" i="1"/>
  <c r="K317" i="1"/>
  <c r="M317" i="1" s="1"/>
  <c r="J317" i="1"/>
  <c r="E317" i="1"/>
  <c r="D317" i="1"/>
  <c r="C317" i="1"/>
  <c r="L316" i="1"/>
  <c r="K316" i="1"/>
  <c r="M316" i="1" s="1"/>
  <c r="J316" i="1"/>
  <c r="E316" i="1"/>
  <c r="D316" i="1"/>
  <c r="C316" i="1"/>
  <c r="L315" i="1"/>
  <c r="K315" i="1"/>
  <c r="M315" i="1" s="1"/>
  <c r="J315" i="1"/>
  <c r="E315" i="1"/>
  <c r="D315" i="1"/>
  <c r="C315" i="1"/>
  <c r="L314" i="1"/>
  <c r="K314" i="1"/>
  <c r="M314" i="1" s="1"/>
  <c r="J314" i="1"/>
  <c r="E314" i="1"/>
  <c r="D314" i="1"/>
  <c r="C314" i="1"/>
  <c r="L313" i="1"/>
  <c r="K313" i="1"/>
  <c r="M313" i="1" s="1"/>
  <c r="J313" i="1"/>
  <c r="E313" i="1"/>
  <c r="D313" i="1"/>
  <c r="C313" i="1"/>
  <c r="L312" i="1"/>
  <c r="K312" i="1"/>
  <c r="M312" i="1" s="1"/>
  <c r="J312" i="1"/>
  <c r="E312" i="1"/>
  <c r="D312" i="1"/>
  <c r="C312" i="1"/>
  <c r="L311" i="1"/>
  <c r="K311" i="1"/>
  <c r="M311" i="1" s="1"/>
  <c r="J311" i="1"/>
  <c r="E311" i="1"/>
  <c r="D311" i="1"/>
  <c r="C311" i="1"/>
  <c r="M310" i="1"/>
  <c r="L310" i="1"/>
  <c r="K310" i="1"/>
  <c r="J310" i="1"/>
  <c r="E310" i="1"/>
  <c r="D310" i="1"/>
  <c r="C310" i="1"/>
  <c r="L309" i="1"/>
  <c r="K309" i="1"/>
  <c r="M309" i="1" s="1"/>
  <c r="J309" i="1"/>
  <c r="E309" i="1"/>
  <c r="D309" i="1"/>
  <c r="C309" i="1"/>
  <c r="L308" i="1"/>
  <c r="K308" i="1"/>
  <c r="M308" i="1" s="1"/>
  <c r="J308" i="1"/>
  <c r="E308" i="1"/>
  <c r="D308" i="1"/>
  <c r="C308" i="1"/>
  <c r="M307" i="1"/>
  <c r="L307" i="1"/>
  <c r="K307" i="1"/>
  <c r="J307" i="1"/>
  <c r="E307" i="1"/>
  <c r="D307" i="1"/>
  <c r="C307" i="1"/>
  <c r="L306" i="1"/>
  <c r="K306" i="1"/>
  <c r="M306" i="1" s="1"/>
  <c r="J306" i="1"/>
  <c r="E306" i="1"/>
  <c r="D306" i="1"/>
  <c r="C306" i="1"/>
  <c r="L305" i="1"/>
  <c r="K305" i="1"/>
  <c r="M305" i="1" s="1"/>
  <c r="J305" i="1"/>
  <c r="E305" i="1"/>
  <c r="D305" i="1"/>
  <c r="C305" i="1"/>
  <c r="L304" i="1"/>
  <c r="K304" i="1"/>
  <c r="M304" i="1" s="1"/>
  <c r="J304" i="1"/>
  <c r="E304" i="1"/>
  <c r="D304" i="1"/>
  <c r="C304" i="1"/>
  <c r="M303" i="1"/>
  <c r="L303" i="1"/>
  <c r="K303" i="1"/>
  <c r="J303" i="1"/>
  <c r="E303" i="1"/>
  <c r="D303" i="1"/>
  <c r="C303" i="1"/>
  <c r="L302" i="1"/>
  <c r="K302" i="1"/>
  <c r="M302" i="1" s="1"/>
  <c r="J302" i="1"/>
  <c r="E302" i="1"/>
  <c r="D302" i="1"/>
  <c r="C302" i="1"/>
  <c r="L301" i="1"/>
  <c r="K301" i="1"/>
  <c r="M301" i="1" s="1"/>
  <c r="J301" i="1"/>
  <c r="E301" i="1"/>
  <c r="D301" i="1"/>
  <c r="C301" i="1"/>
  <c r="L300" i="1"/>
  <c r="K300" i="1"/>
  <c r="M300" i="1" s="1"/>
  <c r="J300" i="1"/>
  <c r="E300" i="1"/>
  <c r="D300" i="1"/>
  <c r="C300" i="1"/>
  <c r="L299" i="1"/>
  <c r="K299" i="1"/>
  <c r="M299" i="1" s="1"/>
  <c r="J299" i="1"/>
  <c r="E299" i="1"/>
  <c r="D299" i="1"/>
  <c r="C299" i="1"/>
  <c r="L298" i="1"/>
  <c r="K298" i="1"/>
  <c r="M298" i="1" s="1"/>
  <c r="J298" i="1"/>
  <c r="E298" i="1"/>
  <c r="D298" i="1"/>
  <c r="C298" i="1"/>
  <c r="L297" i="1"/>
  <c r="K297" i="1"/>
  <c r="M297" i="1" s="1"/>
  <c r="J297" i="1"/>
  <c r="E297" i="1"/>
  <c r="D297" i="1"/>
  <c r="C297" i="1"/>
  <c r="L296" i="1"/>
  <c r="K296" i="1"/>
  <c r="M296" i="1" s="1"/>
  <c r="J296" i="1"/>
  <c r="E296" i="1"/>
  <c r="D296" i="1"/>
  <c r="C296" i="1"/>
  <c r="L295" i="1"/>
  <c r="K295" i="1"/>
  <c r="M295" i="1" s="1"/>
  <c r="J295" i="1"/>
  <c r="E295" i="1"/>
  <c r="D295" i="1"/>
  <c r="C295" i="1"/>
  <c r="L294" i="1"/>
  <c r="K294" i="1"/>
  <c r="M294" i="1" s="1"/>
  <c r="J294" i="1"/>
  <c r="E294" i="1"/>
  <c r="D294" i="1"/>
  <c r="C294" i="1"/>
  <c r="L293" i="1"/>
  <c r="K293" i="1"/>
  <c r="M293" i="1" s="1"/>
  <c r="J293" i="1"/>
  <c r="E293" i="1"/>
  <c r="D293" i="1"/>
  <c r="C293" i="1"/>
  <c r="L292" i="1"/>
  <c r="K292" i="1"/>
  <c r="M292" i="1" s="1"/>
  <c r="J292" i="1"/>
  <c r="E292" i="1"/>
  <c r="D292" i="1"/>
  <c r="C292" i="1"/>
  <c r="L291" i="1"/>
  <c r="K291" i="1"/>
  <c r="M291" i="1" s="1"/>
  <c r="J291" i="1"/>
  <c r="E291" i="1"/>
  <c r="D291" i="1"/>
  <c r="C291" i="1"/>
  <c r="L290" i="1"/>
  <c r="K290" i="1"/>
  <c r="M290" i="1" s="1"/>
  <c r="J290" i="1"/>
  <c r="E290" i="1"/>
  <c r="D290" i="1"/>
  <c r="C290" i="1"/>
  <c r="L289" i="1"/>
  <c r="K289" i="1"/>
  <c r="M289" i="1" s="1"/>
  <c r="J289" i="1"/>
  <c r="E289" i="1"/>
  <c r="D289" i="1"/>
  <c r="C289" i="1"/>
  <c r="L288" i="1"/>
  <c r="K288" i="1"/>
  <c r="M288" i="1" s="1"/>
  <c r="J288" i="1"/>
  <c r="E288" i="1"/>
  <c r="D288" i="1"/>
  <c r="C288" i="1"/>
  <c r="L287" i="1"/>
  <c r="K287" i="1"/>
  <c r="M287" i="1" s="1"/>
  <c r="J287" i="1"/>
  <c r="E287" i="1"/>
  <c r="D287" i="1"/>
  <c r="C287" i="1"/>
  <c r="L286" i="1"/>
  <c r="K286" i="1"/>
  <c r="M286" i="1" s="1"/>
  <c r="J286" i="1"/>
  <c r="E286" i="1"/>
  <c r="D286" i="1"/>
  <c r="C286" i="1"/>
  <c r="L285" i="1"/>
  <c r="K285" i="1"/>
  <c r="M285" i="1" s="1"/>
  <c r="J285" i="1"/>
  <c r="E285" i="1"/>
  <c r="D285" i="1"/>
  <c r="C285" i="1"/>
  <c r="L284" i="1"/>
  <c r="K284" i="1"/>
  <c r="M284" i="1" s="1"/>
  <c r="J284" i="1"/>
  <c r="E284" i="1"/>
  <c r="D284" i="1"/>
  <c r="C284" i="1"/>
  <c r="L283" i="1"/>
  <c r="K283" i="1"/>
  <c r="M283" i="1" s="1"/>
  <c r="J283" i="1"/>
  <c r="E283" i="1"/>
  <c r="D283" i="1"/>
  <c r="C283" i="1"/>
  <c r="L282" i="1"/>
  <c r="K282" i="1"/>
  <c r="M282" i="1" s="1"/>
  <c r="J282" i="1"/>
  <c r="E282" i="1"/>
  <c r="D282" i="1"/>
  <c r="C282" i="1"/>
  <c r="L281" i="1"/>
  <c r="K281" i="1"/>
  <c r="M281" i="1" s="1"/>
  <c r="J281" i="1"/>
  <c r="E281" i="1"/>
  <c r="D281" i="1"/>
  <c r="C281" i="1"/>
  <c r="L280" i="1"/>
  <c r="K280" i="1"/>
  <c r="M280" i="1" s="1"/>
  <c r="J280" i="1"/>
  <c r="E280" i="1"/>
  <c r="D280" i="1"/>
  <c r="C280" i="1"/>
  <c r="M279" i="1"/>
  <c r="L279" i="1"/>
  <c r="K279" i="1"/>
  <c r="J279" i="1"/>
  <c r="E279" i="1"/>
  <c r="D279" i="1"/>
  <c r="C279" i="1"/>
  <c r="L278" i="1"/>
  <c r="K278" i="1"/>
  <c r="M278" i="1" s="1"/>
  <c r="J278" i="1"/>
  <c r="E278" i="1"/>
  <c r="D278" i="1"/>
  <c r="C278" i="1"/>
  <c r="L277" i="1"/>
  <c r="K277" i="1"/>
  <c r="M277" i="1" s="1"/>
  <c r="J277" i="1"/>
  <c r="E277" i="1"/>
  <c r="D277" i="1"/>
  <c r="C277" i="1"/>
  <c r="L276" i="1"/>
  <c r="K276" i="1"/>
  <c r="M276" i="1" s="1"/>
  <c r="J276" i="1"/>
  <c r="E276" i="1"/>
  <c r="D276" i="1"/>
  <c r="C276" i="1"/>
  <c r="L275" i="1"/>
  <c r="K275" i="1"/>
  <c r="M275" i="1" s="1"/>
  <c r="J275" i="1"/>
  <c r="E275" i="1"/>
  <c r="D275" i="1"/>
  <c r="C275" i="1"/>
  <c r="L274" i="1"/>
  <c r="K274" i="1"/>
  <c r="M274" i="1" s="1"/>
  <c r="J274" i="1"/>
  <c r="E274" i="1"/>
  <c r="D274" i="1"/>
  <c r="C274" i="1"/>
  <c r="L273" i="1"/>
  <c r="K273" i="1"/>
  <c r="M273" i="1" s="1"/>
  <c r="J273" i="1"/>
  <c r="E273" i="1"/>
  <c r="D273" i="1"/>
  <c r="C273" i="1"/>
  <c r="M272" i="1"/>
  <c r="L272" i="1"/>
  <c r="K272" i="1"/>
  <c r="J272" i="1"/>
  <c r="E272" i="1"/>
  <c r="D272" i="1"/>
  <c r="C272" i="1"/>
  <c r="L271" i="1"/>
  <c r="K271" i="1"/>
  <c r="M271" i="1" s="1"/>
  <c r="J271" i="1"/>
  <c r="E271" i="1"/>
  <c r="D271" i="1"/>
  <c r="C271" i="1"/>
  <c r="L270" i="1"/>
  <c r="K270" i="1"/>
  <c r="M270" i="1" s="1"/>
  <c r="J270" i="1"/>
  <c r="E270" i="1"/>
  <c r="D270" i="1"/>
  <c r="C270" i="1"/>
  <c r="L269" i="1"/>
  <c r="K269" i="1"/>
  <c r="M269" i="1" s="1"/>
  <c r="J269" i="1"/>
  <c r="E269" i="1"/>
  <c r="D269" i="1"/>
  <c r="C269" i="1"/>
  <c r="L268" i="1"/>
  <c r="K268" i="1"/>
  <c r="M268" i="1" s="1"/>
  <c r="J268" i="1"/>
  <c r="E268" i="1"/>
  <c r="D268" i="1"/>
  <c r="C268" i="1"/>
  <c r="M267" i="1"/>
  <c r="L267" i="1"/>
  <c r="K267" i="1"/>
  <c r="J267" i="1"/>
  <c r="E267" i="1"/>
  <c r="D267" i="1"/>
  <c r="C267" i="1"/>
  <c r="L266" i="1"/>
  <c r="K266" i="1"/>
  <c r="M266" i="1" s="1"/>
  <c r="J266" i="1"/>
  <c r="E266" i="1"/>
  <c r="D266" i="1"/>
  <c r="C266" i="1"/>
  <c r="L265" i="1"/>
  <c r="K265" i="1"/>
  <c r="M265" i="1" s="1"/>
  <c r="J265" i="1"/>
  <c r="E265" i="1"/>
  <c r="D265" i="1"/>
  <c r="C265" i="1"/>
  <c r="L264" i="1"/>
  <c r="K264" i="1"/>
  <c r="M264" i="1" s="1"/>
  <c r="J264" i="1"/>
  <c r="E264" i="1"/>
  <c r="D264" i="1"/>
  <c r="C264" i="1"/>
  <c r="L263" i="1"/>
  <c r="K263" i="1"/>
  <c r="M263" i="1" s="1"/>
  <c r="J263" i="1"/>
  <c r="E263" i="1"/>
  <c r="D263" i="1"/>
  <c r="C263" i="1"/>
  <c r="L262" i="1"/>
  <c r="K262" i="1"/>
  <c r="M262" i="1" s="1"/>
  <c r="J262" i="1"/>
  <c r="E262" i="1"/>
  <c r="D262" i="1"/>
  <c r="C262" i="1"/>
  <c r="L261" i="1"/>
  <c r="K261" i="1"/>
  <c r="M261" i="1" s="1"/>
  <c r="J261" i="1"/>
  <c r="E261" i="1"/>
  <c r="D261" i="1"/>
  <c r="C261" i="1"/>
  <c r="L260" i="1"/>
  <c r="K260" i="1"/>
  <c r="M260" i="1" s="1"/>
  <c r="J260" i="1"/>
  <c r="E260" i="1"/>
  <c r="D260" i="1"/>
  <c r="C260" i="1"/>
  <c r="L259" i="1"/>
  <c r="K259" i="1"/>
  <c r="M259" i="1" s="1"/>
  <c r="J259" i="1"/>
  <c r="E259" i="1"/>
  <c r="D259" i="1"/>
  <c r="C259" i="1"/>
  <c r="L258" i="1"/>
  <c r="K258" i="1"/>
  <c r="M258" i="1" s="1"/>
  <c r="J258" i="1"/>
  <c r="E258" i="1"/>
  <c r="D258" i="1"/>
  <c r="C258" i="1"/>
  <c r="L257" i="1"/>
  <c r="K257" i="1"/>
  <c r="M257" i="1" s="1"/>
  <c r="J257" i="1"/>
  <c r="E257" i="1"/>
  <c r="D257" i="1"/>
  <c r="C257" i="1"/>
  <c r="L256" i="1"/>
  <c r="K256" i="1"/>
  <c r="M256" i="1" s="1"/>
  <c r="J256" i="1"/>
  <c r="E256" i="1"/>
  <c r="D256" i="1"/>
  <c r="C256" i="1"/>
  <c r="M255" i="1"/>
  <c r="L255" i="1"/>
  <c r="K255" i="1"/>
  <c r="J255" i="1"/>
  <c r="E255" i="1"/>
  <c r="D255" i="1"/>
  <c r="C255" i="1"/>
  <c r="L254" i="1"/>
  <c r="K254" i="1"/>
  <c r="M254" i="1" s="1"/>
  <c r="J254" i="1"/>
  <c r="E254" i="1"/>
  <c r="D254" i="1"/>
  <c r="C254" i="1"/>
  <c r="L253" i="1"/>
  <c r="K253" i="1"/>
  <c r="M253" i="1" s="1"/>
  <c r="J253" i="1"/>
  <c r="E253" i="1"/>
  <c r="D253" i="1"/>
  <c r="C253" i="1"/>
  <c r="L252" i="1"/>
  <c r="K252" i="1"/>
  <c r="M252" i="1" s="1"/>
  <c r="J252" i="1"/>
  <c r="E252" i="1"/>
  <c r="D252" i="1"/>
  <c r="C252" i="1"/>
  <c r="L251" i="1"/>
  <c r="K251" i="1"/>
  <c r="M251" i="1" s="1"/>
  <c r="J251" i="1"/>
  <c r="E251" i="1"/>
  <c r="D251" i="1"/>
  <c r="C251" i="1"/>
  <c r="L250" i="1"/>
  <c r="K250" i="1"/>
  <c r="M250" i="1" s="1"/>
  <c r="J250" i="1"/>
  <c r="E250" i="1"/>
  <c r="D250" i="1"/>
  <c r="C250" i="1"/>
  <c r="L249" i="1"/>
  <c r="K249" i="1"/>
  <c r="M249" i="1" s="1"/>
  <c r="J249" i="1"/>
  <c r="E249" i="1"/>
  <c r="D249" i="1"/>
  <c r="C249" i="1"/>
  <c r="L248" i="1"/>
  <c r="K248" i="1"/>
  <c r="M248" i="1" s="1"/>
  <c r="J248" i="1"/>
  <c r="E248" i="1"/>
  <c r="D248" i="1"/>
  <c r="C248" i="1"/>
  <c r="L247" i="1"/>
  <c r="K247" i="1"/>
  <c r="M247" i="1" s="1"/>
  <c r="J247" i="1"/>
  <c r="E247" i="1"/>
  <c r="D247" i="1"/>
  <c r="C247" i="1"/>
  <c r="L246" i="1"/>
  <c r="K246" i="1"/>
  <c r="M246" i="1" s="1"/>
  <c r="J246" i="1"/>
  <c r="E246" i="1"/>
  <c r="D246" i="1"/>
  <c r="C246" i="1"/>
  <c r="L245" i="1"/>
  <c r="K245" i="1"/>
  <c r="M245" i="1" s="1"/>
  <c r="J245" i="1"/>
  <c r="E245" i="1"/>
  <c r="D245" i="1"/>
  <c r="C245" i="1"/>
  <c r="L244" i="1"/>
  <c r="K244" i="1"/>
  <c r="M244" i="1" s="1"/>
  <c r="J244" i="1"/>
  <c r="E244" i="1"/>
  <c r="D244" i="1"/>
  <c r="C244" i="1"/>
  <c r="L243" i="1"/>
  <c r="K243" i="1"/>
  <c r="M243" i="1" s="1"/>
  <c r="J243" i="1"/>
  <c r="E243" i="1"/>
  <c r="D243" i="1"/>
  <c r="C243" i="1"/>
  <c r="L242" i="1"/>
  <c r="K242" i="1"/>
  <c r="M242" i="1" s="1"/>
  <c r="J242" i="1"/>
  <c r="E242" i="1"/>
  <c r="D242" i="1"/>
  <c r="C242" i="1"/>
  <c r="L241" i="1"/>
  <c r="K241" i="1"/>
  <c r="M241" i="1" s="1"/>
  <c r="J241" i="1"/>
  <c r="E241" i="1"/>
  <c r="D241" i="1"/>
  <c r="C241" i="1"/>
  <c r="L240" i="1"/>
  <c r="K240" i="1"/>
  <c r="M240" i="1" s="1"/>
  <c r="J240" i="1"/>
  <c r="E240" i="1"/>
  <c r="D240" i="1"/>
  <c r="C240" i="1"/>
  <c r="L239" i="1"/>
  <c r="K239" i="1"/>
  <c r="M239" i="1" s="1"/>
  <c r="J239" i="1"/>
  <c r="E239" i="1"/>
  <c r="D239" i="1"/>
  <c r="C239" i="1"/>
  <c r="L238" i="1"/>
  <c r="K238" i="1"/>
  <c r="M238" i="1" s="1"/>
  <c r="J238" i="1"/>
  <c r="E238" i="1"/>
  <c r="D238" i="1"/>
  <c r="C238" i="1"/>
  <c r="L237" i="1"/>
  <c r="K237" i="1"/>
  <c r="M237" i="1" s="1"/>
  <c r="J237" i="1"/>
  <c r="E237" i="1"/>
  <c r="D237" i="1"/>
  <c r="C237" i="1"/>
  <c r="L236" i="1"/>
  <c r="K236" i="1"/>
  <c r="M236" i="1" s="1"/>
  <c r="J236" i="1"/>
  <c r="E236" i="1"/>
  <c r="D236" i="1"/>
  <c r="C236" i="1"/>
  <c r="M235" i="1"/>
  <c r="L235" i="1"/>
  <c r="K235" i="1"/>
  <c r="J235" i="1"/>
  <c r="E235" i="1"/>
  <c r="D235" i="1"/>
  <c r="C235" i="1"/>
  <c r="L234" i="1"/>
  <c r="K234" i="1"/>
  <c r="M234" i="1" s="1"/>
  <c r="J234" i="1"/>
  <c r="E234" i="1"/>
  <c r="D234" i="1"/>
  <c r="C234" i="1"/>
  <c r="L233" i="1"/>
  <c r="K233" i="1"/>
  <c r="M233" i="1" s="1"/>
  <c r="J233" i="1"/>
  <c r="E233" i="1"/>
  <c r="D233" i="1"/>
  <c r="C233" i="1"/>
  <c r="L232" i="1"/>
  <c r="K232" i="1"/>
  <c r="M232" i="1" s="1"/>
  <c r="J232" i="1"/>
  <c r="E232" i="1"/>
  <c r="D232" i="1"/>
  <c r="C232" i="1"/>
  <c r="L231" i="1"/>
  <c r="K231" i="1"/>
  <c r="M231" i="1" s="1"/>
  <c r="J231" i="1"/>
  <c r="E231" i="1"/>
  <c r="D231" i="1"/>
  <c r="C231" i="1"/>
  <c r="L230" i="1"/>
  <c r="K230" i="1"/>
  <c r="M230" i="1" s="1"/>
  <c r="J230" i="1"/>
  <c r="E230" i="1"/>
  <c r="D230" i="1"/>
  <c r="C230" i="1"/>
  <c r="L229" i="1"/>
  <c r="K229" i="1"/>
  <c r="M229" i="1" s="1"/>
  <c r="J229" i="1"/>
  <c r="E229" i="1"/>
  <c r="D229" i="1"/>
  <c r="C229" i="1"/>
  <c r="L228" i="1"/>
  <c r="K228" i="1"/>
  <c r="M228" i="1" s="1"/>
  <c r="J228" i="1"/>
  <c r="E228" i="1"/>
  <c r="D228" i="1"/>
  <c r="C228" i="1"/>
  <c r="L227" i="1"/>
  <c r="K227" i="1"/>
  <c r="M227" i="1" s="1"/>
  <c r="J227" i="1"/>
  <c r="E227" i="1"/>
  <c r="D227" i="1"/>
  <c r="C227" i="1"/>
  <c r="L226" i="1"/>
  <c r="K226" i="1"/>
  <c r="M226" i="1" s="1"/>
  <c r="J226" i="1"/>
  <c r="E226" i="1"/>
  <c r="D226" i="1"/>
  <c r="C226" i="1"/>
  <c r="L225" i="1"/>
  <c r="K225" i="1"/>
  <c r="M225" i="1" s="1"/>
  <c r="J225" i="1"/>
  <c r="E225" i="1"/>
  <c r="D225" i="1"/>
  <c r="C225" i="1"/>
  <c r="L224" i="1"/>
  <c r="K224" i="1"/>
  <c r="M224" i="1" s="1"/>
  <c r="J224" i="1"/>
  <c r="E224" i="1"/>
  <c r="D224" i="1"/>
  <c r="C224" i="1"/>
  <c r="M223" i="1"/>
  <c r="L223" i="1"/>
  <c r="K223" i="1"/>
  <c r="J223" i="1"/>
  <c r="E223" i="1"/>
  <c r="D223" i="1"/>
  <c r="C223" i="1"/>
  <c r="L222" i="1"/>
  <c r="K222" i="1"/>
  <c r="M222" i="1" s="1"/>
  <c r="J222" i="1"/>
  <c r="E222" i="1"/>
  <c r="D222" i="1"/>
  <c r="C222" i="1"/>
  <c r="L221" i="1"/>
  <c r="K221" i="1"/>
  <c r="M221" i="1" s="1"/>
  <c r="J221" i="1"/>
  <c r="E221" i="1"/>
  <c r="D221" i="1"/>
  <c r="C221" i="1"/>
  <c r="L220" i="1"/>
  <c r="K220" i="1"/>
  <c r="M220" i="1" s="1"/>
  <c r="J220" i="1"/>
  <c r="E220" i="1"/>
  <c r="D220" i="1"/>
  <c r="C220" i="1"/>
  <c r="L219" i="1"/>
  <c r="K219" i="1"/>
  <c r="M219" i="1" s="1"/>
  <c r="J219" i="1"/>
  <c r="E219" i="1"/>
  <c r="D219" i="1"/>
  <c r="C219" i="1"/>
  <c r="L218" i="1"/>
  <c r="K218" i="1"/>
  <c r="M218" i="1" s="1"/>
  <c r="J218" i="1"/>
  <c r="E218" i="1"/>
  <c r="D218" i="1"/>
  <c r="C218" i="1"/>
  <c r="L217" i="1"/>
  <c r="K217" i="1"/>
  <c r="M217" i="1" s="1"/>
  <c r="J217" i="1"/>
  <c r="E217" i="1"/>
  <c r="D217" i="1"/>
  <c r="C217" i="1"/>
  <c r="L216" i="1"/>
  <c r="K216" i="1"/>
  <c r="M216" i="1" s="1"/>
  <c r="J216" i="1"/>
  <c r="E216" i="1"/>
  <c r="D216" i="1"/>
  <c r="C216" i="1"/>
  <c r="L215" i="1"/>
  <c r="K215" i="1"/>
  <c r="M215" i="1" s="1"/>
  <c r="J215" i="1"/>
  <c r="E215" i="1"/>
  <c r="D215" i="1"/>
  <c r="C215" i="1"/>
  <c r="L214" i="1"/>
  <c r="K214" i="1"/>
  <c r="M214" i="1" s="1"/>
  <c r="J214" i="1"/>
  <c r="E214" i="1"/>
  <c r="D214" i="1"/>
  <c r="C214" i="1"/>
  <c r="L213" i="1"/>
  <c r="K213" i="1"/>
  <c r="M213" i="1" s="1"/>
  <c r="J213" i="1"/>
  <c r="E213" i="1"/>
  <c r="D213" i="1"/>
  <c r="C213" i="1"/>
  <c r="L212" i="1"/>
  <c r="K212" i="1"/>
  <c r="M212" i="1" s="1"/>
  <c r="J212" i="1"/>
  <c r="E212" i="1"/>
  <c r="D212" i="1"/>
  <c r="C212" i="1"/>
  <c r="L211" i="1"/>
  <c r="K211" i="1"/>
  <c r="M211" i="1" s="1"/>
  <c r="J211" i="1"/>
  <c r="E211" i="1"/>
  <c r="D211" i="1"/>
  <c r="C211" i="1"/>
  <c r="L210" i="1"/>
  <c r="K210" i="1"/>
  <c r="M210" i="1" s="1"/>
  <c r="J210" i="1"/>
  <c r="E210" i="1"/>
  <c r="D210" i="1"/>
  <c r="C210" i="1"/>
  <c r="L209" i="1"/>
  <c r="K209" i="1"/>
  <c r="M209" i="1" s="1"/>
  <c r="J209" i="1"/>
  <c r="E209" i="1"/>
  <c r="D209" i="1"/>
  <c r="C209" i="1"/>
  <c r="M208" i="1"/>
  <c r="L208" i="1"/>
  <c r="K208" i="1"/>
  <c r="J208" i="1"/>
  <c r="E208" i="1"/>
  <c r="D208" i="1"/>
  <c r="C208" i="1"/>
  <c r="L207" i="1"/>
  <c r="K207" i="1"/>
  <c r="M207" i="1" s="1"/>
  <c r="J207" i="1"/>
  <c r="E207" i="1"/>
  <c r="D207" i="1"/>
  <c r="C207" i="1"/>
  <c r="L206" i="1"/>
  <c r="K206" i="1"/>
  <c r="M206" i="1" s="1"/>
  <c r="J206" i="1"/>
  <c r="E206" i="1"/>
  <c r="D206" i="1"/>
  <c r="C206" i="1"/>
  <c r="L205" i="1"/>
  <c r="K205" i="1"/>
  <c r="M205" i="1" s="1"/>
  <c r="J205" i="1"/>
  <c r="E205" i="1"/>
  <c r="D205" i="1"/>
  <c r="C205" i="1"/>
  <c r="L204" i="1"/>
  <c r="K204" i="1"/>
  <c r="M204" i="1" s="1"/>
  <c r="J204" i="1"/>
  <c r="E204" i="1"/>
  <c r="D204" i="1"/>
  <c r="C204" i="1"/>
  <c r="M203" i="1"/>
  <c r="L203" i="1"/>
  <c r="K203" i="1"/>
  <c r="J203" i="1"/>
  <c r="E203" i="1"/>
  <c r="D203" i="1"/>
  <c r="C203" i="1"/>
  <c r="L202" i="1"/>
  <c r="K202" i="1"/>
  <c r="M202" i="1" s="1"/>
  <c r="J202" i="1"/>
  <c r="E202" i="1"/>
  <c r="D202" i="1"/>
  <c r="C202" i="1"/>
  <c r="L201" i="1"/>
  <c r="K201" i="1"/>
  <c r="M201" i="1" s="1"/>
  <c r="J201" i="1"/>
  <c r="E201" i="1"/>
  <c r="D201" i="1"/>
  <c r="C201" i="1"/>
  <c r="L200" i="1"/>
  <c r="K200" i="1"/>
  <c r="M200" i="1" s="1"/>
  <c r="J200" i="1"/>
  <c r="E200" i="1"/>
  <c r="D200" i="1"/>
  <c r="C200" i="1"/>
  <c r="L199" i="1"/>
  <c r="K199" i="1"/>
  <c r="M199" i="1" s="1"/>
  <c r="J199" i="1"/>
  <c r="E199" i="1"/>
  <c r="D199" i="1"/>
  <c r="C199" i="1"/>
  <c r="L198" i="1"/>
  <c r="K198" i="1"/>
  <c r="M198" i="1" s="1"/>
  <c r="J198" i="1"/>
  <c r="E198" i="1"/>
  <c r="D198" i="1"/>
  <c r="C198" i="1"/>
  <c r="L197" i="1"/>
  <c r="K197" i="1"/>
  <c r="M197" i="1" s="1"/>
  <c r="J197" i="1"/>
  <c r="E197" i="1"/>
  <c r="D197" i="1"/>
  <c r="C197" i="1"/>
  <c r="L196" i="1"/>
  <c r="K196" i="1"/>
  <c r="M196" i="1" s="1"/>
  <c r="J196" i="1"/>
  <c r="E196" i="1"/>
  <c r="D196" i="1"/>
  <c r="C196" i="1"/>
  <c r="L195" i="1"/>
  <c r="K195" i="1"/>
  <c r="M195" i="1" s="1"/>
  <c r="J195" i="1"/>
  <c r="E195" i="1"/>
  <c r="D195" i="1"/>
  <c r="C195" i="1"/>
  <c r="L194" i="1"/>
  <c r="K194" i="1"/>
  <c r="M194" i="1" s="1"/>
  <c r="J194" i="1"/>
  <c r="E194" i="1"/>
  <c r="D194" i="1"/>
  <c r="C194" i="1"/>
  <c r="L193" i="1"/>
  <c r="K193" i="1"/>
  <c r="M193" i="1" s="1"/>
  <c r="J193" i="1"/>
  <c r="E193" i="1"/>
  <c r="D193" i="1"/>
  <c r="C193" i="1"/>
  <c r="M192" i="1"/>
  <c r="L192" i="1"/>
  <c r="K192" i="1"/>
  <c r="J192" i="1"/>
  <c r="E192" i="1"/>
  <c r="D192" i="1"/>
  <c r="C192" i="1"/>
  <c r="L191" i="1"/>
  <c r="K191" i="1"/>
  <c r="M191" i="1" s="1"/>
  <c r="J191" i="1"/>
  <c r="E191" i="1"/>
  <c r="D191" i="1"/>
  <c r="C191" i="1"/>
  <c r="L190" i="1"/>
  <c r="K190" i="1"/>
  <c r="M190" i="1" s="1"/>
  <c r="J190" i="1"/>
  <c r="E190" i="1"/>
  <c r="D190" i="1"/>
  <c r="C190" i="1"/>
  <c r="L189" i="1"/>
  <c r="K189" i="1"/>
  <c r="M189" i="1" s="1"/>
  <c r="J189" i="1"/>
  <c r="E189" i="1"/>
  <c r="D189" i="1"/>
  <c r="C189" i="1"/>
  <c r="L188" i="1"/>
  <c r="K188" i="1"/>
  <c r="M188" i="1" s="1"/>
  <c r="J188" i="1"/>
  <c r="E188" i="1"/>
  <c r="D188" i="1"/>
  <c r="C188" i="1"/>
  <c r="M187" i="1"/>
  <c r="L187" i="1"/>
  <c r="K187" i="1"/>
  <c r="J187" i="1"/>
  <c r="E187" i="1"/>
  <c r="D187" i="1"/>
  <c r="C187" i="1"/>
  <c r="L186" i="1"/>
  <c r="K186" i="1"/>
  <c r="M186" i="1" s="1"/>
  <c r="J186" i="1"/>
  <c r="E186" i="1"/>
  <c r="D186" i="1"/>
  <c r="C186" i="1"/>
  <c r="L185" i="1"/>
  <c r="K185" i="1"/>
  <c r="M185" i="1" s="1"/>
  <c r="J185" i="1"/>
  <c r="E185" i="1"/>
  <c r="D185" i="1"/>
  <c r="C185" i="1"/>
  <c r="L184" i="1"/>
  <c r="K184" i="1"/>
  <c r="M184" i="1" s="1"/>
  <c r="J184" i="1"/>
  <c r="E184" i="1"/>
  <c r="D184" i="1"/>
  <c r="C184" i="1"/>
  <c r="L183" i="1"/>
  <c r="K183" i="1"/>
  <c r="M183" i="1" s="1"/>
  <c r="J183" i="1"/>
  <c r="E183" i="1"/>
  <c r="D183" i="1"/>
  <c r="C183" i="1"/>
  <c r="L182" i="1"/>
  <c r="K182" i="1"/>
  <c r="M182" i="1" s="1"/>
  <c r="J182" i="1"/>
  <c r="E182" i="1"/>
  <c r="D182" i="1"/>
  <c r="C182" i="1"/>
  <c r="L181" i="1"/>
  <c r="K181" i="1"/>
  <c r="M181" i="1" s="1"/>
  <c r="J181" i="1"/>
  <c r="E181" i="1"/>
  <c r="D181" i="1"/>
  <c r="C181" i="1"/>
  <c r="L180" i="1"/>
  <c r="K180" i="1"/>
  <c r="M180" i="1" s="1"/>
  <c r="J180" i="1"/>
  <c r="E180" i="1"/>
  <c r="D180" i="1"/>
  <c r="C180" i="1"/>
  <c r="L179" i="1"/>
  <c r="K179" i="1"/>
  <c r="M179" i="1" s="1"/>
  <c r="J179" i="1"/>
  <c r="E179" i="1"/>
  <c r="D179" i="1"/>
  <c r="C179" i="1"/>
  <c r="L178" i="1"/>
  <c r="K178" i="1"/>
  <c r="M178" i="1" s="1"/>
  <c r="J178" i="1"/>
  <c r="E178" i="1"/>
  <c r="D178" i="1"/>
  <c r="C178" i="1"/>
  <c r="L177" i="1"/>
  <c r="K177" i="1"/>
  <c r="M177" i="1" s="1"/>
  <c r="J177" i="1"/>
  <c r="E177" i="1"/>
  <c r="D177" i="1"/>
  <c r="C177" i="1"/>
  <c r="M176" i="1"/>
  <c r="L176" i="1"/>
  <c r="K176" i="1"/>
  <c r="J176" i="1"/>
  <c r="E176" i="1"/>
  <c r="D176" i="1"/>
  <c r="C176" i="1"/>
  <c r="L175" i="1"/>
  <c r="K175" i="1"/>
  <c r="M175" i="1" s="1"/>
  <c r="J175" i="1"/>
  <c r="E175" i="1"/>
  <c r="D175" i="1"/>
  <c r="C175" i="1"/>
  <c r="L174" i="1"/>
  <c r="K174" i="1"/>
  <c r="M174" i="1" s="1"/>
  <c r="J174" i="1"/>
  <c r="E174" i="1"/>
  <c r="D174" i="1"/>
  <c r="C174" i="1"/>
  <c r="L173" i="1"/>
  <c r="K173" i="1"/>
  <c r="M173" i="1" s="1"/>
  <c r="J173" i="1"/>
  <c r="E173" i="1"/>
  <c r="D173" i="1"/>
  <c r="C173" i="1"/>
  <c r="L172" i="1"/>
  <c r="K172" i="1"/>
  <c r="M172" i="1" s="1"/>
  <c r="J172" i="1"/>
  <c r="E172" i="1"/>
  <c r="D172" i="1"/>
  <c r="C172" i="1"/>
  <c r="M171" i="1"/>
  <c r="L171" i="1"/>
  <c r="K171" i="1"/>
  <c r="J171" i="1"/>
  <c r="E171" i="1"/>
  <c r="D171" i="1"/>
  <c r="C171" i="1"/>
  <c r="L170" i="1"/>
  <c r="K170" i="1"/>
  <c r="M170" i="1" s="1"/>
  <c r="J170" i="1"/>
  <c r="E170" i="1"/>
  <c r="D170" i="1"/>
  <c r="C170" i="1"/>
  <c r="L169" i="1"/>
  <c r="K169" i="1"/>
  <c r="M169" i="1" s="1"/>
  <c r="J169" i="1"/>
  <c r="E169" i="1"/>
  <c r="D169" i="1"/>
  <c r="C169" i="1"/>
  <c r="L168" i="1"/>
  <c r="K168" i="1"/>
  <c r="M168" i="1" s="1"/>
  <c r="J168" i="1"/>
  <c r="E168" i="1"/>
  <c r="D168" i="1"/>
  <c r="C168" i="1"/>
  <c r="L167" i="1"/>
  <c r="K167" i="1"/>
  <c r="M167" i="1" s="1"/>
  <c r="J167" i="1"/>
  <c r="E167" i="1"/>
  <c r="D167" i="1"/>
  <c r="C167" i="1"/>
  <c r="L166" i="1"/>
  <c r="K166" i="1"/>
  <c r="M166" i="1" s="1"/>
  <c r="J166" i="1"/>
  <c r="E166" i="1"/>
  <c r="D166" i="1"/>
  <c r="C166" i="1"/>
  <c r="L165" i="1"/>
  <c r="K165" i="1"/>
  <c r="M165" i="1" s="1"/>
  <c r="J165" i="1"/>
  <c r="E165" i="1"/>
  <c r="D165" i="1"/>
  <c r="C165" i="1"/>
  <c r="L164" i="1"/>
  <c r="K164" i="1"/>
  <c r="M164" i="1" s="1"/>
  <c r="J164" i="1"/>
  <c r="E164" i="1"/>
  <c r="D164" i="1"/>
  <c r="C164" i="1"/>
  <c r="L163" i="1"/>
  <c r="K163" i="1"/>
  <c r="M163" i="1" s="1"/>
  <c r="J163" i="1"/>
  <c r="E163" i="1"/>
  <c r="D163" i="1"/>
  <c r="C163" i="1"/>
  <c r="L162" i="1"/>
  <c r="K162" i="1"/>
  <c r="M162" i="1" s="1"/>
  <c r="J162" i="1"/>
  <c r="E162" i="1"/>
  <c r="D162" i="1"/>
  <c r="C162" i="1"/>
  <c r="L161" i="1"/>
  <c r="K161" i="1"/>
  <c r="M161" i="1" s="1"/>
  <c r="J161" i="1"/>
  <c r="E161" i="1"/>
  <c r="D161" i="1"/>
  <c r="C161" i="1"/>
  <c r="M160" i="1"/>
  <c r="L160" i="1"/>
  <c r="K160" i="1"/>
  <c r="J160" i="1"/>
  <c r="E160" i="1"/>
  <c r="D160" i="1"/>
  <c r="C160" i="1"/>
  <c r="L159" i="1"/>
  <c r="K159" i="1"/>
  <c r="M159" i="1" s="1"/>
  <c r="J159" i="1"/>
  <c r="E159" i="1"/>
  <c r="D159" i="1"/>
  <c r="C159" i="1"/>
  <c r="L158" i="1"/>
  <c r="K158" i="1"/>
  <c r="M158" i="1" s="1"/>
  <c r="J158" i="1"/>
  <c r="E158" i="1"/>
  <c r="D158" i="1"/>
  <c r="C158" i="1"/>
  <c r="L157" i="1"/>
  <c r="K157" i="1"/>
  <c r="M157" i="1" s="1"/>
  <c r="J157" i="1"/>
  <c r="E157" i="1"/>
  <c r="D157" i="1"/>
  <c r="C157" i="1"/>
  <c r="L156" i="1"/>
  <c r="K156" i="1"/>
  <c r="M156" i="1" s="1"/>
  <c r="J156" i="1"/>
  <c r="E156" i="1"/>
  <c r="D156" i="1"/>
  <c r="C156" i="1"/>
  <c r="M155" i="1"/>
  <c r="L155" i="1"/>
  <c r="K155" i="1"/>
  <c r="J155" i="1"/>
  <c r="E155" i="1"/>
  <c r="D155" i="1"/>
  <c r="C155" i="1"/>
  <c r="L154" i="1"/>
  <c r="K154" i="1"/>
  <c r="M154" i="1" s="1"/>
  <c r="J154" i="1"/>
  <c r="E154" i="1"/>
  <c r="D154" i="1"/>
  <c r="C154" i="1"/>
  <c r="L153" i="1"/>
  <c r="K153" i="1"/>
  <c r="M153" i="1" s="1"/>
  <c r="J153" i="1"/>
  <c r="E153" i="1"/>
  <c r="D153" i="1"/>
  <c r="C153" i="1"/>
  <c r="L152" i="1"/>
  <c r="K152" i="1"/>
  <c r="M152" i="1" s="1"/>
  <c r="J152" i="1"/>
  <c r="E152" i="1"/>
  <c r="D152" i="1"/>
  <c r="C152" i="1"/>
  <c r="M151" i="1"/>
  <c r="L151" i="1"/>
  <c r="K151" i="1"/>
  <c r="J151" i="1"/>
  <c r="E151" i="1"/>
  <c r="D151" i="1"/>
  <c r="C151" i="1"/>
  <c r="L150" i="1"/>
  <c r="K150" i="1"/>
  <c r="M150" i="1" s="1"/>
  <c r="J150" i="1"/>
  <c r="E150" i="1"/>
  <c r="D150" i="1"/>
  <c r="C150" i="1"/>
  <c r="L149" i="1"/>
  <c r="K149" i="1"/>
  <c r="M149" i="1" s="1"/>
  <c r="J149" i="1"/>
  <c r="E149" i="1"/>
  <c r="D149" i="1"/>
  <c r="C149" i="1"/>
  <c r="L148" i="1"/>
  <c r="K148" i="1"/>
  <c r="M148" i="1" s="1"/>
  <c r="J148" i="1"/>
  <c r="E148" i="1"/>
  <c r="D148" i="1"/>
  <c r="C148" i="1"/>
  <c r="L147" i="1"/>
  <c r="K147" i="1"/>
  <c r="M147" i="1" s="1"/>
  <c r="J147" i="1"/>
  <c r="E147" i="1"/>
  <c r="D147" i="1"/>
  <c r="C147" i="1"/>
  <c r="L146" i="1"/>
  <c r="K146" i="1"/>
  <c r="M146" i="1" s="1"/>
  <c r="J146" i="1"/>
  <c r="E146" i="1"/>
  <c r="D146" i="1"/>
  <c r="C146" i="1"/>
  <c r="L145" i="1"/>
  <c r="K145" i="1"/>
  <c r="M145" i="1" s="1"/>
  <c r="J145" i="1"/>
  <c r="E145" i="1"/>
  <c r="D145" i="1"/>
  <c r="C145" i="1"/>
  <c r="L144" i="1"/>
  <c r="K144" i="1"/>
  <c r="M144" i="1" s="1"/>
  <c r="J144" i="1"/>
  <c r="E144" i="1"/>
  <c r="D144" i="1"/>
  <c r="C144" i="1"/>
  <c r="L143" i="1"/>
  <c r="K143" i="1"/>
  <c r="M143" i="1" s="1"/>
  <c r="J143" i="1"/>
  <c r="E143" i="1"/>
  <c r="D143" i="1"/>
  <c r="C143" i="1"/>
  <c r="L142" i="1"/>
  <c r="K142" i="1"/>
  <c r="M142" i="1" s="1"/>
  <c r="J142" i="1"/>
  <c r="E142" i="1"/>
  <c r="D142" i="1"/>
  <c r="C142" i="1"/>
  <c r="L141" i="1"/>
  <c r="K141" i="1"/>
  <c r="M141" i="1" s="1"/>
  <c r="J141" i="1"/>
  <c r="E141" i="1"/>
  <c r="D141" i="1"/>
  <c r="C141" i="1"/>
  <c r="L140" i="1"/>
  <c r="K140" i="1"/>
  <c r="M140" i="1" s="1"/>
  <c r="J140" i="1"/>
  <c r="E140" i="1"/>
  <c r="D140" i="1"/>
  <c r="C140" i="1"/>
  <c r="L139" i="1"/>
  <c r="K139" i="1"/>
  <c r="M139" i="1" s="1"/>
  <c r="J139" i="1"/>
  <c r="E139" i="1"/>
  <c r="D139" i="1"/>
  <c r="C139" i="1"/>
  <c r="L138" i="1"/>
  <c r="K138" i="1"/>
  <c r="M138" i="1" s="1"/>
  <c r="J138" i="1"/>
  <c r="E138" i="1"/>
  <c r="D138" i="1"/>
  <c r="C138" i="1"/>
  <c r="L137" i="1"/>
  <c r="K137" i="1"/>
  <c r="M137" i="1" s="1"/>
  <c r="J137" i="1"/>
  <c r="E137" i="1"/>
  <c r="D137" i="1"/>
  <c r="C137" i="1"/>
  <c r="L136" i="1"/>
  <c r="K136" i="1"/>
  <c r="M136" i="1" s="1"/>
  <c r="J136" i="1"/>
  <c r="E136" i="1"/>
  <c r="D136" i="1"/>
  <c r="C136" i="1"/>
  <c r="L135" i="1"/>
  <c r="K135" i="1"/>
  <c r="M135" i="1" s="1"/>
  <c r="J135" i="1"/>
  <c r="E135" i="1"/>
  <c r="D135" i="1"/>
  <c r="C135" i="1"/>
  <c r="L134" i="1"/>
  <c r="K134" i="1"/>
  <c r="M134" i="1" s="1"/>
  <c r="J134" i="1"/>
  <c r="E134" i="1"/>
  <c r="D134" i="1"/>
  <c r="C134" i="1"/>
  <c r="L133" i="1"/>
  <c r="K133" i="1"/>
  <c r="M133" i="1" s="1"/>
  <c r="J133" i="1"/>
  <c r="E133" i="1"/>
  <c r="D133" i="1"/>
  <c r="C133" i="1"/>
  <c r="L132" i="1"/>
  <c r="K132" i="1"/>
  <c r="M132" i="1" s="1"/>
  <c r="J132" i="1"/>
  <c r="E132" i="1"/>
  <c r="D132" i="1"/>
  <c r="C132" i="1"/>
  <c r="L131" i="1"/>
  <c r="K131" i="1"/>
  <c r="M131" i="1" s="1"/>
  <c r="J131" i="1"/>
  <c r="E131" i="1"/>
  <c r="D131" i="1"/>
  <c r="C131" i="1"/>
  <c r="L130" i="1"/>
  <c r="K130" i="1"/>
  <c r="M130" i="1" s="1"/>
  <c r="J130" i="1"/>
  <c r="E130" i="1"/>
  <c r="D130" i="1"/>
  <c r="C130" i="1"/>
  <c r="L129" i="1"/>
  <c r="K129" i="1"/>
  <c r="M129" i="1" s="1"/>
  <c r="J129" i="1"/>
  <c r="E129" i="1"/>
  <c r="D129" i="1"/>
  <c r="C129" i="1"/>
  <c r="L128" i="1"/>
  <c r="K128" i="1"/>
  <c r="M128" i="1" s="1"/>
  <c r="J128" i="1"/>
  <c r="E128" i="1"/>
  <c r="D128" i="1"/>
  <c r="C128" i="1"/>
  <c r="L127" i="1"/>
  <c r="K127" i="1"/>
  <c r="M127" i="1" s="1"/>
  <c r="J127" i="1"/>
  <c r="E127" i="1"/>
  <c r="D127" i="1"/>
  <c r="C127" i="1"/>
  <c r="L126" i="1"/>
  <c r="K126" i="1"/>
  <c r="M126" i="1" s="1"/>
  <c r="J126" i="1"/>
  <c r="E126" i="1"/>
  <c r="D126" i="1"/>
  <c r="C126" i="1"/>
  <c r="L125" i="1"/>
  <c r="K125" i="1"/>
  <c r="M125" i="1" s="1"/>
  <c r="J125" i="1"/>
  <c r="E125" i="1"/>
  <c r="D125" i="1"/>
  <c r="C125" i="1"/>
  <c r="L124" i="1"/>
  <c r="K124" i="1"/>
  <c r="M124" i="1" s="1"/>
  <c r="J124" i="1"/>
  <c r="E124" i="1"/>
  <c r="D124" i="1"/>
  <c r="C124" i="1"/>
  <c r="M123" i="1"/>
  <c r="L123" i="1"/>
  <c r="K123" i="1"/>
  <c r="J123" i="1"/>
  <c r="E123" i="1"/>
  <c r="D123" i="1"/>
  <c r="C123" i="1"/>
  <c r="L122" i="1"/>
  <c r="K122" i="1"/>
  <c r="M122" i="1" s="1"/>
  <c r="J122" i="1"/>
  <c r="E122" i="1"/>
  <c r="D122" i="1"/>
  <c r="C122" i="1"/>
  <c r="L121" i="1"/>
  <c r="K121" i="1"/>
  <c r="M121" i="1" s="1"/>
  <c r="J121" i="1"/>
  <c r="E121" i="1"/>
  <c r="D121" i="1"/>
  <c r="C121" i="1"/>
  <c r="L120" i="1"/>
  <c r="K120" i="1"/>
  <c r="M120" i="1" s="1"/>
  <c r="J120" i="1"/>
  <c r="E120" i="1"/>
  <c r="D120" i="1"/>
  <c r="C120" i="1"/>
  <c r="M119" i="1"/>
  <c r="L119" i="1"/>
  <c r="K119" i="1"/>
  <c r="J119" i="1"/>
  <c r="E119" i="1"/>
  <c r="D119" i="1"/>
  <c r="C119" i="1"/>
  <c r="L118" i="1"/>
  <c r="K118" i="1"/>
  <c r="M118" i="1" s="1"/>
  <c r="J118" i="1"/>
  <c r="E118" i="1"/>
  <c r="D118" i="1"/>
  <c r="C118" i="1"/>
  <c r="L117" i="1"/>
  <c r="K117" i="1"/>
  <c r="M117" i="1" s="1"/>
  <c r="J117" i="1"/>
  <c r="E117" i="1"/>
  <c r="D117" i="1"/>
  <c r="C117" i="1"/>
  <c r="M116" i="1"/>
  <c r="L116" i="1"/>
  <c r="K116" i="1"/>
  <c r="J116" i="1"/>
  <c r="E116" i="1"/>
  <c r="D116" i="1"/>
  <c r="C116" i="1"/>
  <c r="L115" i="1"/>
  <c r="K115" i="1"/>
  <c r="M115" i="1" s="1"/>
  <c r="J115" i="1"/>
  <c r="E115" i="1"/>
  <c r="D115" i="1"/>
  <c r="C115" i="1"/>
  <c r="L114" i="1"/>
  <c r="K114" i="1"/>
  <c r="M114" i="1" s="1"/>
  <c r="J114" i="1"/>
  <c r="E114" i="1"/>
  <c r="D114" i="1"/>
  <c r="C114" i="1"/>
  <c r="L113" i="1"/>
  <c r="K113" i="1"/>
  <c r="M113" i="1" s="1"/>
  <c r="J113" i="1"/>
  <c r="E113" i="1"/>
  <c r="D113" i="1"/>
  <c r="C113" i="1"/>
  <c r="L112" i="1"/>
  <c r="K112" i="1"/>
  <c r="M112" i="1" s="1"/>
  <c r="J112" i="1"/>
  <c r="E112" i="1"/>
  <c r="D112" i="1"/>
  <c r="C112" i="1"/>
  <c r="L111" i="1"/>
  <c r="K111" i="1"/>
  <c r="M111" i="1" s="1"/>
  <c r="J111" i="1"/>
  <c r="E111" i="1"/>
  <c r="D111" i="1"/>
  <c r="C111" i="1"/>
  <c r="L110" i="1"/>
  <c r="K110" i="1"/>
  <c r="M110" i="1" s="1"/>
  <c r="J110" i="1"/>
  <c r="E110" i="1"/>
  <c r="D110" i="1"/>
  <c r="C110" i="1"/>
  <c r="L109" i="1"/>
  <c r="K109" i="1"/>
  <c r="M109" i="1" s="1"/>
  <c r="J109" i="1"/>
  <c r="E109" i="1"/>
  <c r="D109" i="1"/>
  <c r="C109" i="1"/>
  <c r="L108" i="1"/>
  <c r="K108" i="1"/>
  <c r="M108" i="1" s="1"/>
  <c r="J108" i="1"/>
  <c r="E108" i="1"/>
  <c r="D108" i="1"/>
  <c r="C108" i="1"/>
  <c r="L107" i="1"/>
  <c r="K107" i="1"/>
  <c r="M107" i="1" s="1"/>
  <c r="J107" i="1"/>
  <c r="E107" i="1"/>
  <c r="D107" i="1"/>
  <c r="C107" i="1"/>
  <c r="L106" i="1"/>
  <c r="K106" i="1"/>
  <c r="M106" i="1" s="1"/>
  <c r="J106" i="1"/>
  <c r="E106" i="1"/>
  <c r="D106" i="1"/>
  <c r="C106" i="1"/>
  <c r="L105" i="1"/>
  <c r="K105" i="1"/>
  <c r="M105" i="1" s="1"/>
  <c r="J105" i="1"/>
  <c r="E105" i="1"/>
  <c r="D105" i="1"/>
  <c r="C105" i="1"/>
  <c r="L104" i="1"/>
  <c r="K104" i="1"/>
  <c r="M104" i="1" s="1"/>
  <c r="J104" i="1"/>
  <c r="E104" i="1"/>
  <c r="D104" i="1"/>
  <c r="C104" i="1"/>
  <c r="M103" i="1"/>
  <c r="L103" i="1"/>
  <c r="K103" i="1"/>
  <c r="J103" i="1"/>
  <c r="E103" i="1"/>
  <c r="D103" i="1"/>
  <c r="C103" i="1"/>
  <c r="L102" i="1"/>
  <c r="K102" i="1"/>
  <c r="M102" i="1" s="1"/>
  <c r="J102" i="1"/>
  <c r="E102" i="1"/>
  <c r="D102" i="1"/>
  <c r="C102" i="1"/>
  <c r="L101" i="1"/>
  <c r="K101" i="1"/>
  <c r="M101" i="1" s="1"/>
  <c r="J101" i="1"/>
  <c r="E101" i="1"/>
  <c r="D101" i="1"/>
  <c r="C101" i="1"/>
  <c r="M100" i="1"/>
  <c r="L100" i="1"/>
  <c r="K100" i="1"/>
  <c r="J100" i="1"/>
  <c r="E100" i="1"/>
  <c r="D100" i="1"/>
  <c r="C100" i="1"/>
  <c r="L99" i="1"/>
  <c r="K99" i="1"/>
  <c r="M99" i="1" s="1"/>
  <c r="J99" i="1"/>
  <c r="E99" i="1"/>
  <c r="D99" i="1"/>
  <c r="C99" i="1"/>
  <c r="L98" i="1"/>
  <c r="K98" i="1"/>
  <c r="M98" i="1" s="1"/>
  <c r="J98" i="1"/>
  <c r="E98" i="1"/>
  <c r="D98" i="1"/>
  <c r="C98" i="1"/>
  <c r="L97" i="1"/>
  <c r="K97" i="1"/>
  <c r="M97" i="1" s="1"/>
  <c r="J97" i="1"/>
  <c r="E97" i="1"/>
  <c r="D97" i="1"/>
  <c r="C97" i="1"/>
  <c r="L96" i="1"/>
  <c r="K96" i="1"/>
  <c r="M96" i="1" s="1"/>
  <c r="J96" i="1"/>
  <c r="E96" i="1"/>
  <c r="D96" i="1"/>
  <c r="C96" i="1"/>
  <c r="L95" i="1"/>
  <c r="K95" i="1"/>
  <c r="M95" i="1" s="1"/>
  <c r="J95" i="1"/>
  <c r="E95" i="1"/>
  <c r="D95" i="1"/>
  <c r="C95" i="1"/>
  <c r="L94" i="1"/>
  <c r="K94" i="1"/>
  <c r="M94" i="1" s="1"/>
  <c r="J94" i="1"/>
  <c r="E94" i="1"/>
  <c r="D94" i="1"/>
  <c r="C94" i="1"/>
  <c r="L93" i="1"/>
  <c r="K93" i="1"/>
  <c r="M93" i="1" s="1"/>
  <c r="J93" i="1"/>
  <c r="E93" i="1"/>
  <c r="D93" i="1"/>
  <c r="C93" i="1"/>
  <c r="L92" i="1"/>
  <c r="K92" i="1"/>
  <c r="M92" i="1" s="1"/>
  <c r="J92" i="1"/>
  <c r="E92" i="1"/>
  <c r="D92" i="1"/>
  <c r="C92" i="1"/>
  <c r="L91" i="1"/>
  <c r="K91" i="1"/>
  <c r="M91" i="1" s="1"/>
  <c r="J91" i="1"/>
  <c r="E91" i="1"/>
  <c r="D91" i="1"/>
  <c r="C91" i="1"/>
  <c r="L90" i="1"/>
  <c r="K90" i="1"/>
  <c r="M90" i="1" s="1"/>
  <c r="J90" i="1"/>
  <c r="E90" i="1"/>
  <c r="D90" i="1"/>
  <c r="C90" i="1"/>
  <c r="L89" i="1"/>
  <c r="K89" i="1"/>
  <c r="M89" i="1" s="1"/>
  <c r="J89" i="1"/>
  <c r="E89" i="1"/>
  <c r="D89" i="1"/>
  <c r="C89" i="1"/>
  <c r="L88" i="1"/>
  <c r="K88" i="1"/>
  <c r="M88" i="1" s="1"/>
  <c r="J88" i="1"/>
  <c r="E88" i="1"/>
  <c r="D88" i="1"/>
  <c r="C88" i="1"/>
  <c r="M87" i="1"/>
  <c r="L87" i="1"/>
  <c r="K87" i="1"/>
  <c r="J87" i="1"/>
  <c r="E87" i="1"/>
  <c r="D87" i="1"/>
  <c r="C87" i="1"/>
  <c r="L86" i="1"/>
  <c r="K86" i="1"/>
  <c r="M86" i="1" s="1"/>
  <c r="J86" i="1"/>
  <c r="E86" i="1"/>
  <c r="D86" i="1"/>
  <c r="C86" i="1"/>
  <c r="L85" i="1"/>
  <c r="K85" i="1"/>
  <c r="M85" i="1" s="1"/>
  <c r="J85" i="1"/>
  <c r="E85" i="1"/>
  <c r="D85" i="1"/>
  <c r="C85" i="1"/>
  <c r="M84" i="1"/>
  <c r="L84" i="1"/>
  <c r="K84" i="1"/>
  <c r="J84" i="1"/>
  <c r="E84" i="1"/>
  <c r="D84" i="1"/>
  <c r="C84" i="1"/>
  <c r="L83" i="1"/>
  <c r="K83" i="1"/>
  <c r="M83" i="1" s="1"/>
  <c r="J83" i="1"/>
  <c r="E83" i="1"/>
  <c r="D83" i="1"/>
  <c r="C83" i="1"/>
  <c r="L82" i="1"/>
  <c r="K82" i="1"/>
  <c r="M82" i="1" s="1"/>
  <c r="J82" i="1"/>
  <c r="E82" i="1"/>
  <c r="D82" i="1"/>
  <c r="C82" i="1"/>
  <c r="L81" i="1"/>
  <c r="K81" i="1"/>
  <c r="M81" i="1" s="1"/>
  <c r="J81" i="1"/>
  <c r="E81" i="1"/>
  <c r="D81" i="1"/>
  <c r="C81" i="1"/>
  <c r="L80" i="1"/>
  <c r="K80" i="1"/>
  <c r="M80" i="1" s="1"/>
  <c r="J80" i="1"/>
  <c r="E80" i="1"/>
  <c r="D80" i="1"/>
  <c r="C80" i="1"/>
  <c r="L79" i="1"/>
  <c r="K79" i="1"/>
  <c r="M79" i="1" s="1"/>
  <c r="J79" i="1"/>
  <c r="E79" i="1"/>
  <c r="D79" i="1"/>
  <c r="C79" i="1"/>
  <c r="L78" i="1"/>
  <c r="K78" i="1"/>
  <c r="M78" i="1" s="1"/>
  <c r="J78" i="1"/>
  <c r="E78" i="1"/>
  <c r="D78" i="1"/>
  <c r="C78" i="1"/>
  <c r="L77" i="1"/>
  <c r="K77" i="1"/>
  <c r="M77" i="1" s="1"/>
  <c r="J77" i="1"/>
  <c r="E77" i="1"/>
  <c r="D77" i="1"/>
  <c r="C77" i="1"/>
  <c r="L76" i="1"/>
  <c r="K76" i="1"/>
  <c r="M76" i="1" s="1"/>
  <c r="J76" i="1"/>
  <c r="E76" i="1"/>
  <c r="D76" i="1"/>
  <c r="C76" i="1"/>
  <c r="L75" i="1"/>
  <c r="K75" i="1"/>
  <c r="M75" i="1" s="1"/>
  <c r="J75" i="1"/>
  <c r="E75" i="1"/>
  <c r="D75" i="1"/>
  <c r="C75" i="1"/>
  <c r="L74" i="1"/>
  <c r="K74" i="1"/>
  <c r="M74" i="1" s="1"/>
  <c r="J74" i="1"/>
  <c r="E74" i="1"/>
  <c r="D74" i="1"/>
  <c r="C74" i="1"/>
  <c r="L73" i="1"/>
  <c r="K73" i="1"/>
  <c r="M73" i="1" s="1"/>
  <c r="J73" i="1"/>
  <c r="E73" i="1"/>
  <c r="D73" i="1"/>
  <c r="C73" i="1"/>
  <c r="L72" i="1"/>
  <c r="K72" i="1"/>
  <c r="M72" i="1" s="1"/>
  <c r="J72" i="1"/>
  <c r="E72" i="1"/>
  <c r="D72" i="1"/>
  <c r="C72" i="1"/>
  <c r="M71" i="1"/>
  <c r="L71" i="1"/>
  <c r="K71" i="1"/>
  <c r="J71" i="1"/>
  <c r="E71" i="1"/>
  <c r="D71" i="1"/>
  <c r="C71" i="1"/>
  <c r="L70" i="1"/>
  <c r="K70" i="1"/>
  <c r="M70" i="1" s="1"/>
  <c r="J70" i="1"/>
  <c r="E70" i="1"/>
  <c r="D70" i="1"/>
  <c r="C70" i="1"/>
  <c r="L69" i="1"/>
  <c r="K69" i="1"/>
  <c r="M69" i="1" s="1"/>
  <c r="J69" i="1"/>
  <c r="E69" i="1"/>
  <c r="D69" i="1"/>
  <c r="C69" i="1"/>
  <c r="M68" i="1"/>
  <c r="L68" i="1"/>
  <c r="K68" i="1"/>
  <c r="J68" i="1"/>
  <c r="E68" i="1"/>
  <c r="D68" i="1"/>
  <c r="C68" i="1"/>
  <c r="L67" i="1"/>
  <c r="K67" i="1"/>
  <c r="M67" i="1" s="1"/>
  <c r="J67" i="1"/>
  <c r="E67" i="1"/>
  <c r="D67" i="1"/>
  <c r="C67" i="1"/>
  <c r="L66" i="1"/>
  <c r="K66" i="1"/>
  <c r="M66" i="1" s="1"/>
  <c r="J66" i="1"/>
  <c r="E66" i="1"/>
  <c r="D66" i="1"/>
  <c r="C66" i="1"/>
  <c r="L65" i="1"/>
  <c r="K65" i="1"/>
  <c r="M65" i="1" s="1"/>
  <c r="J65" i="1"/>
  <c r="E65" i="1"/>
  <c r="D65" i="1"/>
  <c r="C65" i="1"/>
  <c r="L64" i="1"/>
  <c r="K64" i="1"/>
  <c r="M64" i="1" s="1"/>
  <c r="J64" i="1"/>
  <c r="E64" i="1"/>
  <c r="D64" i="1"/>
  <c r="C64" i="1"/>
  <c r="L63" i="1"/>
  <c r="K63" i="1"/>
  <c r="M63" i="1" s="1"/>
  <c r="J63" i="1"/>
  <c r="E63" i="1"/>
  <c r="D63" i="1"/>
  <c r="C63" i="1"/>
  <c r="L62" i="1"/>
  <c r="K62" i="1"/>
  <c r="M62" i="1" s="1"/>
  <c r="J62" i="1"/>
  <c r="E62" i="1"/>
  <c r="D62" i="1"/>
  <c r="C62" i="1"/>
  <c r="L61" i="1"/>
  <c r="K61" i="1"/>
  <c r="M61" i="1" s="1"/>
  <c r="J61" i="1"/>
  <c r="E61" i="1"/>
  <c r="D61" i="1"/>
  <c r="C61" i="1"/>
  <c r="L60" i="1"/>
  <c r="K60" i="1"/>
  <c r="M60" i="1" s="1"/>
  <c r="J60" i="1"/>
  <c r="E60" i="1"/>
  <c r="D60" i="1"/>
  <c r="C60" i="1"/>
  <c r="L59" i="1"/>
  <c r="K59" i="1"/>
  <c r="M59" i="1" s="1"/>
  <c r="J59" i="1"/>
  <c r="E59" i="1"/>
  <c r="D59" i="1"/>
  <c r="C59" i="1"/>
  <c r="L58" i="1"/>
  <c r="K58" i="1"/>
  <c r="M58" i="1" s="1"/>
  <c r="J58" i="1"/>
  <c r="E58" i="1"/>
  <c r="D58" i="1"/>
  <c r="C58" i="1"/>
  <c r="L57" i="1"/>
  <c r="K57" i="1"/>
  <c r="M57" i="1" s="1"/>
  <c r="J57" i="1"/>
  <c r="E57" i="1"/>
  <c r="D57" i="1"/>
  <c r="C57" i="1"/>
  <c r="L56" i="1"/>
  <c r="K56" i="1"/>
  <c r="M56" i="1" s="1"/>
  <c r="J56" i="1"/>
  <c r="E56" i="1"/>
  <c r="D56" i="1"/>
  <c r="C56" i="1"/>
  <c r="M55" i="1"/>
  <c r="L55" i="1"/>
  <c r="K55" i="1"/>
  <c r="J55" i="1"/>
  <c r="E55" i="1"/>
  <c r="D55" i="1"/>
  <c r="C55" i="1"/>
  <c r="L54" i="1"/>
  <c r="K54" i="1"/>
  <c r="M54" i="1" s="1"/>
  <c r="J54" i="1"/>
  <c r="E54" i="1"/>
  <c r="D54" i="1"/>
  <c r="C54" i="1"/>
  <c r="L53" i="1"/>
  <c r="K53" i="1"/>
  <c r="M53" i="1" s="1"/>
  <c r="J53" i="1"/>
  <c r="E53" i="1"/>
  <c r="D53" i="1"/>
  <c r="C53" i="1"/>
  <c r="M52" i="1"/>
  <c r="L52" i="1"/>
  <c r="K52" i="1"/>
  <c r="J52" i="1"/>
  <c r="E52" i="1"/>
  <c r="D52" i="1"/>
  <c r="C52" i="1"/>
  <c r="L51" i="1"/>
  <c r="K51" i="1"/>
  <c r="M51" i="1" s="1"/>
  <c r="J51" i="1"/>
  <c r="E51" i="1"/>
  <c r="D51" i="1"/>
  <c r="C51" i="1"/>
  <c r="L50" i="1"/>
  <c r="K50" i="1"/>
  <c r="M50" i="1" s="1"/>
  <c r="J50" i="1"/>
  <c r="E50" i="1"/>
  <c r="D50" i="1"/>
  <c r="C50" i="1"/>
  <c r="L49" i="1"/>
  <c r="K49" i="1"/>
  <c r="M49" i="1" s="1"/>
  <c r="J49" i="1"/>
  <c r="E49" i="1"/>
  <c r="D49" i="1"/>
  <c r="C49" i="1"/>
  <c r="L48" i="1"/>
  <c r="K48" i="1"/>
  <c r="M48" i="1" s="1"/>
  <c r="J48" i="1"/>
  <c r="E48" i="1"/>
  <c r="D48" i="1"/>
  <c r="C48" i="1"/>
  <c r="L47" i="1"/>
  <c r="K47" i="1"/>
  <c r="M47" i="1" s="1"/>
  <c r="J47" i="1"/>
  <c r="E47" i="1"/>
  <c r="D47" i="1"/>
  <c r="C47" i="1"/>
  <c r="L46" i="1"/>
  <c r="K46" i="1"/>
  <c r="M46" i="1" s="1"/>
  <c r="J46" i="1"/>
  <c r="E46" i="1"/>
  <c r="D46" i="1"/>
  <c r="C46" i="1"/>
  <c r="L45" i="1"/>
  <c r="K45" i="1"/>
  <c r="M45" i="1" s="1"/>
  <c r="J45" i="1"/>
  <c r="E45" i="1"/>
  <c r="D45" i="1"/>
  <c r="C45" i="1"/>
  <c r="L44" i="1"/>
  <c r="K44" i="1"/>
  <c r="M44" i="1" s="1"/>
  <c r="J44" i="1"/>
  <c r="E44" i="1"/>
  <c r="D44" i="1"/>
  <c r="C44" i="1"/>
  <c r="L43" i="1"/>
  <c r="K43" i="1"/>
  <c r="M43" i="1" s="1"/>
  <c r="J43" i="1"/>
  <c r="E43" i="1"/>
  <c r="D43" i="1"/>
  <c r="C43" i="1"/>
  <c r="L42" i="1"/>
  <c r="K42" i="1"/>
  <c r="M42" i="1" s="1"/>
  <c r="J42" i="1"/>
  <c r="E42" i="1"/>
  <c r="D42" i="1"/>
  <c r="C42" i="1"/>
  <c r="L41" i="1"/>
  <c r="K41" i="1"/>
  <c r="M41" i="1" s="1"/>
  <c r="J41" i="1"/>
  <c r="E41" i="1"/>
  <c r="D41" i="1"/>
  <c r="C41" i="1"/>
  <c r="L40" i="1"/>
  <c r="K40" i="1"/>
  <c r="M40" i="1" s="1"/>
  <c r="J40" i="1"/>
  <c r="E40" i="1"/>
  <c r="D40" i="1"/>
  <c r="C40" i="1"/>
  <c r="M39" i="1"/>
  <c r="L39" i="1"/>
  <c r="K39" i="1"/>
  <c r="J39" i="1"/>
  <c r="E39" i="1"/>
  <c r="D39" i="1"/>
  <c r="C39" i="1"/>
  <c r="L38" i="1"/>
  <c r="K38" i="1"/>
  <c r="M38" i="1" s="1"/>
  <c r="J38" i="1"/>
  <c r="E38" i="1"/>
  <c r="D38" i="1"/>
  <c r="C38" i="1"/>
  <c r="L37" i="1"/>
  <c r="K37" i="1"/>
  <c r="M37" i="1" s="1"/>
  <c r="J37" i="1"/>
  <c r="E37" i="1"/>
  <c r="D37" i="1"/>
  <c r="C37" i="1"/>
  <c r="M36" i="1"/>
  <c r="L36" i="1"/>
  <c r="K36" i="1"/>
  <c r="J36" i="1"/>
  <c r="E36" i="1"/>
  <c r="D36" i="1"/>
  <c r="C36" i="1"/>
  <c r="L35" i="1"/>
  <c r="K35" i="1"/>
  <c r="M35" i="1" s="1"/>
  <c r="J35" i="1"/>
  <c r="E35" i="1"/>
  <c r="D35" i="1"/>
  <c r="C35" i="1"/>
  <c r="L34" i="1"/>
  <c r="K34" i="1"/>
  <c r="M34" i="1" s="1"/>
  <c r="J34" i="1"/>
  <c r="E34" i="1"/>
  <c r="D34" i="1"/>
  <c r="C34" i="1"/>
  <c r="L33" i="1"/>
  <c r="K33" i="1"/>
  <c r="M33" i="1" s="1"/>
  <c r="J33" i="1"/>
  <c r="E33" i="1"/>
  <c r="D33" i="1"/>
  <c r="C33" i="1"/>
  <c r="L32" i="1"/>
  <c r="K32" i="1"/>
  <c r="M32" i="1" s="1"/>
  <c r="J32" i="1"/>
  <c r="E32" i="1"/>
  <c r="D32" i="1"/>
  <c r="C32" i="1"/>
  <c r="L31" i="1"/>
  <c r="K31" i="1"/>
  <c r="M31" i="1" s="1"/>
  <c r="J31" i="1"/>
  <c r="E31" i="1"/>
  <c r="D31" i="1"/>
  <c r="C31" i="1"/>
  <c r="L30" i="1"/>
  <c r="K30" i="1"/>
  <c r="M30" i="1" s="1"/>
  <c r="J30" i="1"/>
  <c r="E30" i="1"/>
  <c r="D30" i="1"/>
  <c r="C30" i="1"/>
  <c r="L29" i="1"/>
  <c r="K29" i="1"/>
  <c r="M29" i="1" s="1"/>
  <c r="J29" i="1"/>
  <c r="E29" i="1"/>
  <c r="D29" i="1"/>
  <c r="C29" i="1"/>
  <c r="L28" i="1"/>
  <c r="K28" i="1"/>
  <c r="M28" i="1" s="1"/>
  <c r="J28" i="1"/>
  <c r="E28" i="1"/>
  <c r="D28" i="1"/>
  <c r="C28" i="1"/>
  <c r="L27" i="1"/>
  <c r="K27" i="1"/>
  <c r="M27" i="1" s="1"/>
  <c r="J27" i="1"/>
  <c r="E27" i="1"/>
  <c r="D27" i="1"/>
  <c r="C27" i="1"/>
  <c r="L26" i="1"/>
  <c r="K26" i="1"/>
  <c r="M26" i="1" s="1"/>
  <c r="J26" i="1"/>
  <c r="E26" i="1"/>
  <c r="D26" i="1"/>
  <c r="C26" i="1"/>
  <c r="L25" i="1"/>
  <c r="K25" i="1"/>
  <c r="M25" i="1" s="1"/>
  <c r="J25" i="1"/>
  <c r="E25" i="1"/>
  <c r="D25" i="1"/>
  <c r="C25" i="1"/>
  <c r="L24" i="1"/>
  <c r="K24" i="1"/>
  <c r="M24" i="1" s="1"/>
  <c r="J24" i="1"/>
  <c r="E24" i="1"/>
  <c r="D24" i="1"/>
  <c r="C24" i="1"/>
  <c r="M23" i="1"/>
  <c r="L23" i="1"/>
  <c r="K23" i="1"/>
  <c r="J23" i="1"/>
  <c r="E23" i="1"/>
  <c r="D23" i="1"/>
  <c r="C23" i="1"/>
  <c r="L22" i="1"/>
  <c r="K22" i="1"/>
  <c r="M22" i="1" s="1"/>
  <c r="J22" i="1"/>
  <c r="E22" i="1"/>
  <c r="D22" i="1"/>
  <c r="C22" i="1"/>
  <c r="L21" i="1"/>
  <c r="K21" i="1"/>
  <c r="M21" i="1" s="1"/>
  <c r="J21" i="1"/>
  <c r="E21" i="1"/>
  <c r="D21" i="1"/>
  <c r="C21" i="1"/>
  <c r="M20" i="1"/>
  <c r="L20" i="1"/>
  <c r="K20" i="1"/>
  <c r="J20" i="1"/>
  <c r="E20" i="1"/>
  <c r="D20" i="1"/>
  <c r="C20" i="1"/>
  <c r="L19" i="1"/>
  <c r="K19" i="1"/>
  <c r="M19" i="1" s="1"/>
  <c r="J19" i="1"/>
  <c r="E19" i="1"/>
  <c r="D19" i="1"/>
  <c r="C19" i="1"/>
  <c r="L18" i="1"/>
  <c r="K18" i="1"/>
  <c r="M18" i="1" s="1"/>
  <c r="J18" i="1"/>
  <c r="E18" i="1"/>
  <c r="D18" i="1"/>
  <c r="C18" i="1"/>
  <c r="L17" i="1"/>
  <c r="K17" i="1"/>
  <c r="M17" i="1" s="1"/>
  <c r="J17" i="1"/>
  <c r="E17" i="1"/>
  <c r="D17" i="1"/>
  <c r="C17" i="1"/>
  <c r="L16" i="1"/>
  <c r="K16" i="1"/>
  <c r="M16" i="1" s="1"/>
  <c r="J16" i="1"/>
  <c r="E16" i="1"/>
  <c r="D16" i="1"/>
  <c r="C16" i="1"/>
  <c r="L15" i="1"/>
  <c r="K15" i="1"/>
  <c r="M15" i="1" s="1"/>
  <c r="J15" i="1"/>
  <c r="E15" i="1"/>
  <c r="D15" i="1"/>
  <c r="C15" i="1"/>
  <c r="L14" i="1"/>
  <c r="K14" i="1"/>
  <c r="M14" i="1" s="1"/>
  <c r="J14" i="1"/>
  <c r="E14" i="1"/>
  <c r="D14" i="1"/>
  <c r="C14" i="1"/>
  <c r="L13" i="1"/>
  <c r="K13" i="1"/>
  <c r="M13" i="1" s="1"/>
  <c r="J13" i="1"/>
  <c r="E13" i="1"/>
  <c r="D13" i="1"/>
  <c r="C13" i="1"/>
  <c r="L12" i="1"/>
  <c r="K12" i="1"/>
  <c r="M12" i="1" s="1"/>
  <c r="J12" i="1"/>
  <c r="E12" i="1"/>
  <c r="D12" i="1"/>
  <c r="C12" i="1"/>
  <c r="L11" i="1"/>
  <c r="K11" i="1"/>
  <c r="M11" i="1" s="1"/>
  <c r="J11" i="1"/>
  <c r="E11" i="1"/>
  <c r="D11" i="1"/>
  <c r="C11" i="1"/>
  <c r="L10" i="1"/>
  <c r="K10" i="1"/>
  <c r="M10" i="1" s="1"/>
  <c r="J10" i="1"/>
  <c r="E10" i="1"/>
  <c r="D10" i="1"/>
  <c r="C10" i="1"/>
  <c r="L9" i="1"/>
  <c r="K9" i="1"/>
  <c r="M9" i="1" s="1"/>
  <c r="J9" i="1"/>
  <c r="E9" i="1"/>
  <c r="D9" i="1"/>
  <c r="C9" i="1"/>
  <c r="L8" i="1"/>
  <c r="K8" i="1"/>
  <c r="M8" i="1" s="1"/>
  <c r="J8" i="1"/>
  <c r="E8" i="1"/>
  <c r="D8" i="1"/>
  <c r="C8" i="1"/>
  <c r="M7" i="1"/>
  <c r="L7" i="1"/>
  <c r="K7" i="1"/>
  <c r="J7" i="1"/>
  <c r="E7" i="1"/>
  <c r="D7" i="1"/>
  <c r="C7" i="1"/>
  <c r="L6" i="1"/>
  <c r="K6" i="1"/>
  <c r="M6" i="1" s="1"/>
  <c r="J6" i="1"/>
  <c r="E6" i="1"/>
  <c r="D6" i="1"/>
  <c r="C6" i="1"/>
  <c r="L5" i="1"/>
  <c r="K5" i="1"/>
  <c r="M5" i="1" s="1"/>
  <c r="J5" i="1"/>
  <c r="E5" i="1"/>
  <c r="D5" i="1"/>
  <c r="C5" i="1"/>
  <c r="M4" i="1"/>
  <c r="L4" i="1"/>
  <c r="K4" i="1"/>
  <c r="J4" i="1"/>
  <c r="E4" i="1"/>
  <c r="D4" i="1"/>
  <c r="C4" i="1"/>
  <c r="L3" i="1"/>
  <c r="K3" i="1"/>
  <c r="M3" i="1" s="1"/>
  <c r="J3" i="1"/>
  <c r="E3" i="1"/>
  <c r="D3" i="1"/>
  <c r="C3" i="1"/>
  <c r="L2" i="1"/>
  <c r="K2" i="1"/>
  <c r="M2" i="1" s="1"/>
  <c r="J2" i="1"/>
  <c r="E2" i="1"/>
  <c r="D2" i="1"/>
  <c r="C2" i="1"/>
  <c r="H16" i="2" l="1"/>
  <c r="H13" i="2"/>
  <c r="H5" i="2"/>
  <c r="H6" i="2"/>
  <c r="H9" i="2"/>
  <c r="H10" i="2"/>
  <c r="H12" i="2"/>
  <c r="H14" i="2"/>
  <c r="H7" i="2"/>
  <c r="H8" i="2"/>
  <c r="H11" i="2"/>
  <c r="H15" i="2"/>
  <c r="H4" i="2"/>
  <c r="L610" i="1"/>
  <c r="D12" i="2"/>
  <c r="G12" i="2" s="1"/>
  <c r="L640" i="1"/>
  <c r="D13" i="2"/>
  <c r="L457" i="1"/>
  <c r="D7" i="2"/>
  <c r="G7" i="2" s="1"/>
  <c r="L487" i="1"/>
  <c r="D8" i="2"/>
  <c r="L579" i="1"/>
  <c r="D11" i="2"/>
  <c r="G11" i="2" s="1"/>
  <c r="L671" i="1"/>
  <c r="D14" i="2"/>
  <c r="G14" i="2" s="1"/>
  <c r="L701" i="1"/>
  <c r="D15" i="2"/>
  <c r="G15" i="2" s="1"/>
  <c r="L398" i="1"/>
  <c r="D5" i="2"/>
  <c r="G5" i="2" s="1"/>
  <c r="L426" i="1"/>
  <c r="D6" i="2"/>
  <c r="G6" i="2" s="1"/>
  <c r="L518" i="1"/>
  <c r="D9" i="2"/>
  <c r="L548" i="1"/>
  <c r="D10" i="2"/>
  <c r="G10" i="2" s="1"/>
  <c r="L367" i="1"/>
  <c r="D4" i="2"/>
  <c r="G4" i="2" s="1"/>
  <c r="B6" i="2"/>
  <c r="B8" i="2"/>
  <c r="E8" i="2" s="1"/>
  <c r="B9" i="2"/>
  <c r="E9" i="2" s="1"/>
  <c r="B12" i="2"/>
  <c r="B14" i="2"/>
  <c r="B11" i="2"/>
  <c r="B7" i="2"/>
  <c r="B13" i="2"/>
  <c r="E13" i="2" s="1"/>
  <c r="B5" i="2"/>
  <c r="B10" i="2"/>
  <c r="B15" i="2"/>
  <c r="B4" i="2"/>
  <c r="K486" i="1"/>
  <c r="M486" i="1" s="1"/>
  <c r="K492" i="1"/>
  <c r="M492" i="1" s="1"/>
  <c r="K494" i="1"/>
  <c r="M494" i="1" s="1"/>
  <c r="K500" i="1"/>
  <c r="M500" i="1" s="1"/>
  <c r="K485" i="1"/>
  <c r="M485" i="1" s="1"/>
  <c r="K372" i="1"/>
  <c r="M372" i="1" s="1"/>
  <c r="K384" i="1"/>
  <c r="M384" i="1" s="1"/>
  <c r="J367" i="1"/>
  <c r="K387" i="1"/>
  <c r="M387" i="1" s="1"/>
  <c r="K460" i="1"/>
  <c r="M460" i="1" s="1"/>
  <c r="K462" i="1"/>
  <c r="M462" i="1" s="1"/>
  <c r="K468" i="1"/>
  <c r="M468" i="1" s="1"/>
  <c r="K524" i="1"/>
  <c r="M524" i="1" s="1"/>
  <c r="K726" i="1"/>
  <c r="M726" i="1" s="1"/>
  <c r="K368" i="1"/>
  <c r="M368" i="1" s="1"/>
  <c r="K375" i="1"/>
  <c r="M375" i="1" s="1"/>
  <c r="K391" i="1"/>
  <c r="M391" i="1" s="1"/>
  <c r="K417" i="1"/>
  <c r="M417" i="1" s="1"/>
  <c r="K418" i="1"/>
  <c r="M418" i="1" s="1"/>
  <c r="K424" i="1"/>
  <c r="M424" i="1" s="1"/>
  <c r="K426" i="1"/>
  <c r="M426" i="1" s="1"/>
  <c r="K532" i="1"/>
  <c r="M532" i="1" s="1"/>
  <c r="K536" i="1"/>
  <c r="M536" i="1" s="1"/>
  <c r="K710" i="1"/>
  <c r="M710" i="1" s="1"/>
  <c r="C16" i="2"/>
  <c r="J384" i="1"/>
  <c r="K385" i="1"/>
  <c r="M385" i="1" s="1"/>
  <c r="J387" i="1"/>
  <c r="K388" i="1"/>
  <c r="M388" i="1" s="1"/>
  <c r="K513" i="1"/>
  <c r="M513" i="1" s="1"/>
  <c r="K514" i="1"/>
  <c r="M514" i="1" s="1"/>
  <c r="K545" i="1"/>
  <c r="M545" i="1" s="1"/>
  <c r="K670" i="1"/>
  <c r="M670" i="1" s="1"/>
  <c r="K371" i="1"/>
  <c r="M371" i="1" s="1"/>
  <c r="K374" i="1"/>
  <c r="M374" i="1" s="1"/>
  <c r="K381" i="1"/>
  <c r="M381" i="1" s="1"/>
  <c r="K448" i="1"/>
  <c r="M448" i="1" s="1"/>
  <c r="K454" i="1"/>
  <c r="M454" i="1" s="1"/>
  <c r="K597" i="1"/>
  <c r="M597" i="1" s="1"/>
  <c r="K713" i="1"/>
  <c r="M713" i="1" s="1"/>
  <c r="K718" i="1"/>
  <c r="M718" i="1" s="1"/>
  <c r="K445" i="1"/>
  <c r="M445" i="1" s="1"/>
  <c r="K452" i="1"/>
  <c r="M452" i="1" s="1"/>
  <c r="K476" i="1"/>
  <c r="M476" i="1" s="1"/>
  <c r="K478" i="1"/>
  <c r="M478" i="1" s="1"/>
  <c r="K501" i="1"/>
  <c r="M501" i="1" s="1"/>
  <c r="K502" i="1"/>
  <c r="M502" i="1" s="1"/>
  <c r="K686" i="1"/>
  <c r="M686" i="1" s="1"/>
  <c r="K723" i="1"/>
  <c r="M723" i="1" s="1"/>
  <c r="K367" i="1"/>
  <c r="M367" i="1" s="1"/>
  <c r="K370" i="1"/>
  <c r="M370" i="1" s="1"/>
  <c r="K377" i="1"/>
  <c r="M377" i="1" s="1"/>
  <c r="K380" i="1"/>
  <c r="M380" i="1" s="1"/>
  <c r="K383" i="1"/>
  <c r="M383" i="1" s="1"/>
  <c r="K393" i="1"/>
  <c r="M393" i="1" s="1"/>
  <c r="K396" i="1"/>
  <c r="M396" i="1" s="1"/>
  <c r="K425" i="1"/>
  <c r="M425" i="1" s="1"/>
  <c r="K453" i="1"/>
  <c r="M453" i="1" s="1"/>
  <c r="K508" i="1"/>
  <c r="M508" i="1" s="1"/>
  <c r="K510" i="1"/>
  <c r="M510" i="1" s="1"/>
  <c r="K533" i="1"/>
  <c r="M533" i="1" s="1"/>
  <c r="K542" i="1"/>
  <c r="M542" i="1" s="1"/>
  <c r="K577" i="1"/>
  <c r="M577" i="1" s="1"/>
  <c r="J375" i="1"/>
  <c r="K376" i="1"/>
  <c r="M376" i="1" s="1"/>
  <c r="K379" i="1"/>
  <c r="M379" i="1" s="1"/>
  <c r="J388" i="1"/>
  <c r="K389" i="1"/>
  <c r="M389" i="1" s="1"/>
  <c r="J391" i="1"/>
  <c r="K392" i="1"/>
  <c r="M392" i="1" s="1"/>
  <c r="K395" i="1"/>
  <c r="M395" i="1" s="1"/>
  <c r="K416" i="1"/>
  <c r="M416" i="1" s="1"/>
  <c r="K437" i="1"/>
  <c r="M437" i="1" s="1"/>
  <c r="K469" i="1"/>
  <c r="M469" i="1" s="1"/>
  <c r="K470" i="1"/>
  <c r="M470" i="1" s="1"/>
  <c r="K484" i="1"/>
  <c r="M484" i="1" s="1"/>
  <c r="J514" i="1"/>
  <c r="K517" i="1"/>
  <c r="M517" i="1" s="1"/>
  <c r="K518" i="1"/>
  <c r="M518" i="1" s="1"/>
  <c r="K520" i="1"/>
  <c r="M520" i="1" s="1"/>
  <c r="K529" i="1"/>
  <c r="M529" i="1" s="1"/>
  <c r="K530" i="1"/>
  <c r="M530" i="1" s="1"/>
  <c r="J532" i="1"/>
  <c r="K561" i="1"/>
  <c r="M561" i="1" s="1"/>
  <c r="K694" i="1"/>
  <c r="M694" i="1" s="1"/>
  <c r="K697" i="1"/>
  <c r="M697" i="1" s="1"/>
  <c r="K702" i="1"/>
  <c r="M702" i="1" s="1"/>
  <c r="K707" i="1"/>
  <c r="M707" i="1" s="1"/>
  <c r="K727" i="1"/>
  <c r="M727" i="1" s="1"/>
  <c r="K730" i="1"/>
  <c r="M730" i="1" s="1"/>
  <c r="K534" i="1"/>
  <c r="M534" i="1" s="1"/>
  <c r="J534" i="1"/>
  <c r="K552" i="1"/>
  <c r="M552" i="1" s="1"/>
  <c r="J552" i="1"/>
  <c r="K450" i="1"/>
  <c r="M450" i="1" s="1"/>
  <c r="J452" i="1"/>
  <c r="K456" i="1"/>
  <c r="M456" i="1" s="1"/>
  <c r="J462" i="1"/>
  <c r="K465" i="1"/>
  <c r="M465" i="1" s="1"/>
  <c r="K466" i="1"/>
  <c r="M466" i="1" s="1"/>
  <c r="J468" i="1"/>
  <c r="K472" i="1"/>
  <c r="M472" i="1" s="1"/>
  <c r="J478" i="1"/>
  <c r="K481" i="1"/>
  <c r="M481" i="1" s="1"/>
  <c r="K482" i="1"/>
  <c r="M482" i="1" s="1"/>
  <c r="J484" i="1"/>
  <c r="K488" i="1"/>
  <c r="M488" i="1" s="1"/>
  <c r="J494" i="1"/>
  <c r="K497" i="1"/>
  <c r="M497" i="1" s="1"/>
  <c r="K498" i="1"/>
  <c r="M498" i="1" s="1"/>
  <c r="J500" i="1"/>
  <c r="K504" i="1"/>
  <c r="M504" i="1" s="1"/>
  <c r="J565" i="1"/>
  <c r="K565" i="1"/>
  <c r="M565" i="1" s="1"/>
  <c r="K578" i="1"/>
  <c r="M578" i="1" s="1"/>
  <c r="J578" i="1"/>
  <c r="K616" i="1"/>
  <c r="M616" i="1" s="1"/>
  <c r="J616" i="1"/>
  <c r="K621" i="1"/>
  <c r="M621" i="1" s="1"/>
  <c r="J621" i="1"/>
  <c r="K626" i="1"/>
  <c r="M626" i="1" s="1"/>
  <c r="J626" i="1"/>
  <c r="K638" i="1"/>
  <c r="M638" i="1" s="1"/>
  <c r="J638" i="1"/>
  <c r="K667" i="1"/>
  <c r="M667" i="1" s="1"/>
  <c r="J667" i="1"/>
  <c r="K683" i="1"/>
  <c r="M683" i="1" s="1"/>
  <c r="J683" i="1"/>
  <c r="K731" i="1"/>
  <c r="M731" i="1" s="1"/>
  <c r="J731" i="1"/>
  <c r="J581" i="1"/>
  <c r="K581" i="1"/>
  <c r="M581" i="1" s="1"/>
  <c r="K622" i="1"/>
  <c r="M622" i="1" s="1"/>
  <c r="J622" i="1"/>
  <c r="K721" i="1"/>
  <c r="M721" i="1" s="1"/>
  <c r="J721" i="1"/>
  <c r="K412" i="1"/>
  <c r="M412" i="1" s="1"/>
  <c r="K420" i="1"/>
  <c r="M420" i="1" s="1"/>
  <c r="K428" i="1"/>
  <c r="M428" i="1" s="1"/>
  <c r="K461" i="1"/>
  <c r="M461" i="1" s="1"/>
  <c r="K477" i="1"/>
  <c r="M477" i="1" s="1"/>
  <c r="K493" i="1"/>
  <c r="M493" i="1" s="1"/>
  <c r="K509" i="1"/>
  <c r="M509" i="1" s="1"/>
  <c r="K516" i="1"/>
  <c r="M516" i="1" s="1"/>
  <c r="K525" i="1"/>
  <c r="M525" i="1" s="1"/>
  <c r="K526" i="1"/>
  <c r="M526" i="1" s="1"/>
  <c r="J549" i="1"/>
  <c r="K549" i="1"/>
  <c r="M549" i="1" s="1"/>
  <c r="K562" i="1"/>
  <c r="M562" i="1" s="1"/>
  <c r="J562" i="1"/>
  <c r="K584" i="1"/>
  <c r="M584" i="1" s="1"/>
  <c r="J584" i="1"/>
  <c r="K632" i="1"/>
  <c r="M632" i="1" s="1"/>
  <c r="J632" i="1"/>
  <c r="K637" i="1"/>
  <c r="M637" i="1" s="1"/>
  <c r="J637" i="1"/>
  <c r="K642" i="1"/>
  <c r="M642" i="1" s="1"/>
  <c r="J642" i="1"/>
  <c r="K705" i="1"/>
  <c r="M705" i="1" s="1"/>
  <c r="J705" i="1"/>
  <c r="K715" i="1"/>
  <c r="M715" i="1" s="1"/>
  <c r="J715" i="1"/>
  <c r="K600" i="1"/>
  <c r="M600" i="1" s="1"/>
  <c r="J600" i="1"/>
  <c r="K605" i="1"/>
  <c r="M605" i="1" s="1"/>
  <c r="J605" i="1"/>
  <c r="K610" i="1"/>
  <c r="M610" i="1" s="1"/>
  <c r="J610" i="1"/>
  <c r="J368" i="1"/>
  <c r="K369" i="1"/>
  <c r="M369" i="1" s="1"/>
  <c r="J372" i="1"/>
  <c r="K373" i="1"/>
  <c r="M373" i="1" s="1"/>
  <c r="J376" i="1"/>
  <c r="J377" i="1"/>
  <c r="K378" i="1"/>
  <c r="M378" i="1" s="1"/>
  <c r="J381" i="1"/>
  <c r="K382" i="1"/>
  <c r="M382" i="1" s="1"/>
  <c r="J385" i="1"/>
  <c r="K386" i="1"/>
  <c r="M386" i="1" s="1"/>
  <c r="J389" i="1"/>
  <c r="K390" i="1"/>
  <c r="M390" i="1" s="1"/>
  <c r="J393" i="1"/>
  <c r="K394" i="1"/>
  <c r="M394" i="1" s="1"/>
  <c r="K413" i="1"/>
  <c r="M413" i="1" s="1"/>
  <c r="K414" i="1"/>
  <c r="M414" i="1" s="1"/>
  <c r="K421" i="1"/>
  <c r="M421" i="1" s="1"/>
  <c r="K422" i="1"/>
  <c r="M422" i="1" s="1"/>
  <c r="K429" i="1"/>
  <c r="M429" i="1" s="1"/>
  <c r="K430" i="1"/>
  <c r="M430" i="1" s="1"/>
  <c r="K433" i="1"/>
  <c r="M433" i="1" s="1"/>
  <c r="K441" i="1"/>
  <c r="M441" i="1" s="1"/>
  <c r="K446" i="1"/>
  <c r="M446" i="1" s="1"/>
  <c r="J448" i="1"/>
  <c r="J454" i="1"/>
  <c r="K457" i="1"/>
  <c r="M457" i="1" s="1"/>
  <c r="K458" i="1"/>
  <c r="M458" i="1" s="1"/>
  <c r="J460" i="1"/>
  <c r="K464" i="1"/>
  <c r="M464" i="1" s="1"/>
  <c r="J470" i="1"/>
  <c r="K473" i="1"/>
  <c r="M473" i="1" s="1"/>
  <c r="K474" i="1"/>
  <c r="M474" i="1" s="1"/>
  <c r="J476" i="1"/>
  <c r="K480" i="1"/>
  <c r="M480" i="1" s="1"/>
  <c r="J486" i="1"/>
  <c r="K489" i="1"/>
  <c r="M489" i="1" s="1"/>
  <c r="K490" i="1"/>
  <c r="M490" i="1" s="1"/>
  <c r="J492" i="1"/>
  <c r="K496" i="1"/>
  <c r="M496" i="1" s="1"/>
  <c r="J502" i="1"/>
  <c r="K505" i="1"/>
  <c r="M505" i="1" s="1"/>
  <c r="K506" i="1"/>
  <c r="M506" i="1" s="1"/>
  <c r="J508" i="1"/>
  <c r="K512" i="1"/>
  <c r="M512" i="1" s="1"/>
  <c r="J518" i="1"/>
  <c r="K521" i="1"/>
  <c r="M521" i="1" s="1"/>
  <c r="K522" i="1"/>
  <c r="M522" i="1" s="1"/>
  <c r="J524" i="1"/>
  <c r="J536" i="1"/>
  <c r="J537" i="1"/>
  <c r="K537" i="1"/>
  <c r="M537" i="1" s="1"/>
  <c r="K546" i="1"/>
  <c r="M546" i="1" s="1"/>
  <c r="J546" i="1"/>
  <c r="K568" i="1"/>
  <c r="M568" i="1" s="1"/>
  <c r="J568" i="1"/>
  <c r="K606" i="1"/>
  <c r="M606" i="1" s="1"/>
  <c r="J606" i="1"/>
  <c r="K653" i="1"/>
  <c r="M653" i="1" s="1"/>
  <c r="J653" i="1"/>
  <c r="K657" i="1"/>
  <c r="M657" i="1" s="1"/>
  <c r="J657" i="1"/>
  <c r="K673" i="1"/>
  <c r="M673" i="1" s="1"/>
  <c r="J673" i="1"/>
  <c r="K689" i="1"/>
  <c r="M689" i="1" s="1"/>
  <c r="J689" i="1"/>
  <c r="K699" i="1"/>
  <c r="M699" i="1" s="1"/>
  <c r="J699" i="1"/>
  <c r="K541" i="1"/>
  <c r="M541" i="1" s="1"/>
  <c r="K548" i="1"/>
  <c r="M548" i="1" s="1"/>
  <c r="K557" i="1"/>
  <c r="M557" i="1" s="1"/>
  <c r="K558" i="1"/>
  <c r="M558" i="1" s="1"/>
  <c r="K564" i="1"/>
  <c r="M564" i="1" s="1"/>
  <c r="K573" i="1"/>
  <c r="M573" i="1" s="1"/>
  <c r="K574" i="1"/>
  <c r="M574" i="1" s="1"/>
  <c r="K580" i="1"/>
  <c r="M580" i="1" s="1"/>
  <c r="J597" i="1"/>
  <c r="K603" i="1"/>
  <c r="M603" i="1" s="1"/>
  <c r="K604" i="1"/>
  <c r="M604" i="1" s="1"/>
  <c r="K619" i="1"/>
  <c r="M619" i="1" s="1"/>
  <c r="K620" i="1"/>
  <c r="M620" i="1" s="1"/>
  <c r="K635" i="1"/>
  <c r="M635" i="1" s="1"/>
  <c r="K636" i="1"/>
  <c r="M636" i="1" s="1"/>
  <c r="K650" i="1"/>
  <c r="M650" i="1" s="1"/>
  <c r="K663" i="1"/>
  <c r="M663" i="1" s="1"/>
  <c r="K666" i="1"/>
  <c r="M666" i="1" s="1"/>
  <c r="K669" i="1"/>
  <c r="M669" i="1" s="1"/>
  <c r="K679" i="1"/>
  <c r="M679" i="1" s="1"/>
  <c r="K682" i="1"/>
  <c r="M682" i="1" s="1"/>
  <c r="K685" i="1"/>
  <c r="M685" i="1" s="1"/>
  <c r="K695" i="1"/>
  <c r="M695" i="1" s="1"/>
  <c r="J697" i="1"/>
  <c r="K698" i="1"/>
  <c r="M698" i="1" s="1"/>
  <c r="K701" i="1"/>
  <c r="M701" i="1" s="1"/>
  <c r="J707" i="1"/>
  <c r="K711" i="1"/>
  <c r="M711" i="1" s="1"/>
  <c r="J713" i="1"/>
  <c r="K714" i="1"/>
  <c r="M714" i="1" s="1"/>
  <c r="K717" i="1"/>
  <c r="M717" i="1" s="1"/>
  <c r="J723" i="1"/>
  <c r="K528" i="1"/>
  <c r="M528" i="1" s="1"/>
  <c r="K538" i="1"/>
  <c r="M538" i="1" s="1"/>
  <c r="K544" i="1"/>
  <c r="M544" i="1" s="1"/>
  <c r="K553" i="1"/>
  <c r="M553" i="1" s="1"/>
  <c r="K554" i="1"/>
  <c r="M554" i="1" s="1"/>
  <c r="K560" i="1"/>
  <c r="M560" i="1" s="1"/>
  <c r="K569" i="1"/>
  <c r="M569" i="1" s="1"/>
  <c r="K570" i="1"/>
  <c r="M570" i="1" s="1"/>
  <c r="K576" i="1"/>
  <c r="M576" i="1" s="1"/>
  <c r="K585" i="1"/>
  <c r="M585" i="1" s="1"/>
  <c r="K586" i="1"/>
  <c r="M586" i="1" s="1"/>
  <c r="K598" i="1"/>
  <c r="M598" i="1" s="1"/>
  <c r="K602" i="1"/>
  <c r="M602" i="1" s="1"/>
  <c r="K608" i="1"/>
  <c r="M608" i="1" s="1"/>
  <c r="K613" i="1"/>
  <c r="M613" i="1" s="1"/>
  <c r="K614" i="1"/>
  <c r="M614" i="1" s="1"/>
  <c r="K618" i="1"/>
  <c r="M618" i="1" s="1"/>
  <c r="K624" i="1"/>
  <c r="M624" i="1" s="1"/>
  <c r="K629" i="1"/>
  <c r="M629" i="1" s="1"/>
  <c r="K630" i="1"/>
  <c r="M630" i="1" s="1"/>
  <c r="K634" i="1"/>
  <c r="M634" i="1" s="1"/>
  <c r="K640" i="1"/>
  <c r="M640" i="1" s="1"/>
  <c r="K645" i="1"/>
  <c r="M645" i="1" s="1"/>
  <c r="K646" i="1"/>
  <c r="M646" i="1" s="1"/>
  <c r="K651" i="1"/>
  <c r="M651" i="1" s="1"/>
  <c r="K654" i="1"/>
  <c r="M654" i="1" s="1"/>
  <c r="K659" i="1"/>
  <c r="M659" i="1" s="1"/>
  <c r="K662" i="1"/>
  <c r="M662" i="1" s="1"/>
  <c r="K665" i="1"/>
  <c r="M665" i="1" s="1"/>
  <c r="K675" i="1"/>
  <c r="M675" i="1" s="1"/>
  <c r="K678" i="1"/>
  <c r="M678" i="1" s="1"/>
  <c r="K681" i="1"/>
  <c r="M681" i="1" s="1"/>
  <c r="K691" i="1"/>
  <c r="M691" i="1" s="1"/>
  <c r="K729" i="1"/>
  <c r="M729" i="1" s="1"/>
  <c r="K540" i="1"/>
  <c r="M540" i="1" s="1"/>
  <c r="K550" i="1"/>
  <c r="M550" i="1" s="1"/>
  <c r="K556" i="1"/>
  <c r="M556" i="1" s="1"/>
  <c r="K566" i="1"/>
  <c r="M566" i="1" s="1"/>
  <c r="K572" i="1"/>
  <c r="M572" i="1" s="1"/>
  <c r="K582" i="1"/>
  <c r="M582" i="1" s="1"/>
  <c r="K588" i="1"/>
  <c r="M588" i="1" s="1"/>
  <c r="K591" i="1"/>
  <c r="M591" i="1" s="1"/>
  <c r="K592" i="1"/>
  <c r="M592" i="1" s="1"/>
  <c r="K593" i="1"/>
  <c r="M593" i="1" s="1"/>
  <c r="K594" i="1"/>
  <c r="M594" i="1" s="1"/>
  <c r="K595" i="1"/>
  <c r="M595" i="1" s="1"/>
  <c r="K596" i="1"/>
  <c r="M596" i="1" s="1"/>
  <c r="K611" i="1"/>
  <c r="M611" i="1" s="1"/>
  <c r="K612" i="1"/>
  <c r="M612" i="1" s="1"/>
  <c r="K627" i="1"/>
  <c r="M627" i="1" s="1"/>
  <c r="K628" i="1"/>
  <c r="M628" i="1" s="1"/>
  <c r="K643" i="1"/>
  <c r="M643" i="1" s="1"/>
  <c r="K644" i="1"/>
  <c r="M644" i="1" s="1"/>
  <c r="K649" i="1"/>
  <c r="M649" i="1" s="1"/>
  <c r="K655" i="1"/>
  <c r="M655" i="1" s="1"/>
  <c r="K658" i="1"/>
  <c r="M658" i="1" s="1"/>
  <c r="K661" i="1"/>
  <c r="M661" i="1" s="1"/>
  <c r="K671" i="1"/>
  <c r="M671" i="1" s="1"/>
  <c r="K674" i="1"/>
  <c r="M674" i="1" s="1"/>
  <c r="K677" i="1"/>
  <c r="M677" i="1" s="1"/>
  <c r="K687" i="1"/>
  <c r="M687" i="1" s="1"/>
  <c r="K690" i="1"/>
  <c r="M690" i="1" s="1"/>
  <c r="K693" i="1"/>
  <c r="M693" i="1" s="1"/>
  <c r="K703" i="1"/>
  <c r="M703" i="1" s="1"/>
  <c r="K706" i="1"/>
  <c r="M706" i="1" s="1"/>
  <c r="K709" i="1"/>
  <c r="M709" i="1" s="1"/>
  <c r="K719" i="1"/>
  <c r="M719" i="1" s="1"/>
  <c r="K722" i="1"/>
  <c r="M722" i="1" s="1"/>
  <c r="K725" i="1"/>
  <c r="M725" i="1" s="1"/>
  <c r="J495" i="1"/>
  <c r="K495" i="1"/>
  <c r="M495" i="1" s="1"/>
  <c r="L447" i="1"/>
  <c r="K447" i="1"/>
  <c r="M447" i="1" s="1"/>
  <c r="J463" i="1"/>
  <c r="K463" i="1"/>
  <c r="M463" i="1" s="1"/>
  <c r="J527" i="1"/>
  <c r="K527" i="1"/>
  <c r="M527" i="1" s="1"/>
  <c r="J559" i="1"/>
  <c r="K559" i="1"/>
  <c r="M559" i="1" s="1"/>
  <c r="L449" i="1"/>
  <c r="K449" i="1"/>
  <c r="M449" i="1" s="1"/>
  <c r="J455" i="1"/>
  <c r="K455" i="1"/>
  <c r="M455" i="1" s="1"/>
  <c r="J487" i="1"/>
  <c r="K487" i="1"/>
  <c r="M487" i="1" s="1"/>
  <c r="J519" i="1"/>
  <c r="K519" i="1"/>
  <c r="M519" i="1" s="1"/>
  <c r="J551" i="1"/>
  <c r="K551" i="1"/>
  <c r="M551" i="1" s="1"/>
  <c r="J583" i="1"/>
  <c r="K583" i="1"/>
  <c r="M583" i="1" s="1"/>
  <c r="J590" i="1"/>
  <c r="K590" i="1"/>
  <c r="M590" i="1" s="1"/>
  <c r="J479" i="1"/>
  <c r="K479" i="1"/>
  <c r="M479" i="1" s="1"/>
  <c r="J511" i="1"/>
  <c r="K511" i="1"/>
  <c r="M511" i="1" s="1"/>
  <c r="J543" i="1"/>
  <c r="K543" i="1"/>
  <c r="M543" i="1" s="1"/>
  <c r="J575" i="1"/>
  <c r="K575" i="1"/>
  <c r="M575" i="1" s="1"/>
  <c r="K397" i="1"/>
  <c r="M397" i="1" s="1"/>
  <c r="K398" i="1"/>
  <c r="M398" i="1" s="1"/>
  <c r="K399" i="1"/>
  <c r="M399" i="1" s="1"/>
  <c r="K400" i="1"/>
  <c r="M400" i="1" s="1"/>
  <c r="K401" i="1"/>
  <c r="M401" i="1" s="1"/>
  <c r="K402" i="1"/>
  <c r="M402" i="1" s="1"/>
  <c r="K403" i="1"/>
  <c r="M403" i="1" s="1"/>
  <c r="K404" i="1"/>
  <c r="M404" i="1" s="1"/>
  <c r="K405" i="1"/>
  <c r="M405" i="1" s="1"/>
  <c r="K406" i="1"/>
  <c r="M406" i="1" s="1"/>
  <c r="K407" i="1"/>
  <c r="M407" i="1" s="1"/>
  <c r="K408" i="1"/>
  <c r="M408" i="1" s="1"/>
  <c r="K409" i="1"/>
  <c r="M409" i="1" s="1"/>
  <c r="K410" i="1"/>
  <c r="M410" i="1" s="1"/>
  <c r="K411" i="1"/>
  <c r="M411" i="1" s="1"/>
  <c r="K415" i="1"/>
  <c r="M415" i="1" s="1"/>
  <c r="K419" i="1"/>
  <c r="M419" i="1" s="1"/>
  <c r="K423" i="1"/>
  <c r="M423" i="1" s="1"/>
  <c r="K427" i="1"/>
  <c r="M427" i="1" s="1"/>
  <c r="K431" i="1"/>
  <c r="M431" i="1" s="1"/>
  <c r="K435" i="1"/>
  <c r="M435" i="1" s="1"/>
  <c r="K439" i="1"/>
  <c r="M439" i="1" s="1"/>
  <c r="K443" i="1"/>
  <c r="M443" i="1" s="1"/>
  <c r="J471" i="1"/>
  <c r="K471" i="1"/>
  <c r="M471" i="1" s="1"/>
  <c r="J503" i="1"/>
  <c r="K503" i="1"/>
  <c r="M503" i="1" s="1"/>
  <c r="J535" i="1"/>
  <c r="K535" i="1"/>
  <c r="M535" i="1" s="1"/>
  <c r="J567" i="1"/>
  <c r="K567" i="1"/>
  <c r="M567" i="1" s="1"/>
  <c r="J412" i="1"/>
  <c r="J414" i="1"/>
  <c r="J416" i="1"/>
  <c r="J418" i="1"/>
  <c r="J420" i="1"/>
  <c r="J422" i="1"/>
  <c r="J424" i="1"/>
  <c r="J426" i="1"/>
  <c r="J428" i="1"/>
  <c r="J430" i="1"/>
  <c r="K432" i="1"/>
  <c r="M432" i="1" s="1"/>
  <c r="J433" i="1"/>
  <c r="K436" i="1"/>
  <c r="M436" i="1" s="1"/>
  <c r="J437" i="1"/>
  <c r="K440" i="1"/>
  <c r="M440" i="1" s="1"/>
  <c r="J441" i="1"/>
  <c r="K444" i="1"/>
  <c r="M444" i="1" s="1"/>
  <c r="J445" i="1"/>
  <c r="K451" i="1"/>
  <c r="M451" i="1" s="1"/>
  <c r="K459" i="1"/>
  <c r="M459" i="1" s="1"/>
  <c r="K467" i="1"/>
  <c r="M467" i="1" s="1"/>
  <c r="K475" i="1"/>
  <c r="M475" i="1" s="1"/>
  <c r="K483" i="1"/>
  <c r="M483" i="1" s="1"/>
  <c r="K491" i="1"/>
  <c r="M491" i="1" s="1"/>
  <c r="K499" i="1"/>
  <c r="M499" i="1" s="1"/>
  <c r="K507" i="1"/>
  <c r="M507" i="1" s="1"/>
  <c r="K515" i="1"/>
  <c r="M515" i="1" s="1"/>
  <c r="K523" i="1"/>
  <c r="M523" i="1" s="1"/>
  <c r="K531" i="1"/>
  <c r="M531" i="1" s="1"/>
  <c r="K539" i="1"/>
  <c r="M539" i="1" s="1"/>
  <c r="K547" i="1"/>
  <c r="M547" i="1" s="1"/>
  <c r="K555" i="1"/>
  <c r="M555" i="1" s="1"/>
  <c r="K563" i="1"/>
  <c r="M563" i="1" s="1"/>
  <c r="K571" i="1"/>
  <c r="M571" i="1" s="1"/>
  <c r="K579" i="1"/>
  <c r="M579" i="1" s="1"/>
  <c r="K587" i="1"/>
  <c r="M587" i="1" s="1"/>
  <c r="K434" i="1"/>
  <c r="M434" i="1" s="1"/>
  <c r="K438" i="1"/>
  <c r="M438" i="1" s="1"/>
  <c r="K442" i="1"/>
  <c r="M442" i="1" s="1"/>
  <c r="J652" i="1"/>
  <c r="K652" i="1"/>
  <c r="M652" i="1" s="1"/>
  <c r="K601" i="1"/>
  <c r="M601" i="1" s="1"/>
  <c r="K609" i="1"/>
  <c r="M609" i="1" s="1"/>
  <c r="K617" i="1"/>
  <c r="M617" i="1" s="1"/>
  <c r="K625" i="1"/>
  <c r="M625" i="1" s="1"/>
  <c r="K633" i="1"/>
  <c r="M633" i="1" s="1"/>
  <c r="K641" i="1"/>
  <c r="M641" i="1" s="1"/>
  <c r="K589" i="1"/>
  <c r="M589" i="1" s="1"/>
  <c r="K599" i="1"/>
  <c r="M599" i="1" s="1"/>
  <c r="K607" i="1"/>
  <c r="M607" i="1" s="1"/>
  <c r="K615" i="1"/>
  <c r="M615" i="1" s="1"/>
  <c r="K623" i="1"/>
  <c r="M623" i="1" s="1"/>
  <c r="K631" i="1"/>
  <c r="M631" i="1" s="1"/>
  <c r="K639" i="1"/>
  <c r="M639" i="1" s="1"/>
  <c r="K647" i="1"/>
  <c r="M647" i="1" s="1"/>
  <c r="J648" i="1"/>
  <c r="K648" i="1"/>
  <c r="M648" i="1" s="1"/>
  <c r="K656" i="1"/>
  <c r="M656" i="1" s="1"/>
  <c r="K660" i="1"/>
  <c r="M660" i="1" s="1"/>
  <c r="K664" i="1"/>
  <c r="M664" i="1" s="1"/>
  <c r="K668" i="1"/>
  <c r="M668" i="1" s="1"/>
  <c r="K672" i="1"/>
  <c r="M672" i="1" s="1"/>
  <c r="K676" i="1"/>
  <c r="M676" i="1" s="1"/>
  <c r="K680" i="1"/>
  <c r="M680" i="1" s="1"/>
  <c r="K684" i="1"/>
  <c r="M684" i="1" s="1"/>
  <c r="K688" i="1"/>
  <c r="M688" i="1" s="1"/>
  <c r="K692" i="1"/>
  <c r="M692" i="1" s="1"/>
  <c r="K696" i="1"/>
  <c r="M696" i="1" s="1"/>
  <c r="K700" i="1"/>
  <c r="M700" i="1" s="1"/>
  <c r="K704" i="1"/>
  <c r="M704" i="1" s="1"/>
  <c r="K708" i="1"/>
  <c r="M708" i="1" s="1"/>
  <c r="K712" i="1"/>
  <c r="M712" i="1" s="1"/>
  <c r="K716" i="1"/>
  <c r="M716" i="1" s="1"/>
  <c r="K720" i="1"/>
  <c r="M720" i="1" s="1"/>
  <c r="K724" i="1"/>
  <c r="M724" i="1" s="1"/>
  <c r="K728" i="1"/>
  <c r="M728" i="1" s="1"/>
  <c r="J656" i="1"/>
  <c r="J658" i="1"/>
  <c r="J660" i="1"/>
  <c r="J662" i="1"/>
  <c r="J664" i="1"/>
  <c r="J666" i="1"/>
  <c r="J668" i="1"/>
  <c r="J670" i="1"/>
  <c r="J672" i="1"/>
  <c r="J674" i="1"/>
  <c r="J676" i="1"/>
  <c r="J678" i="1"/>
  <c r="J680" i="1"/>
  <c r="J682" i="1"/>
  <c r="J684" i="1"/>
  <c r="J686" i="1"/>
  <c r="J688" i="1"/>
  <c r="J690" i="1"/>
  <c r="J692" i="1"/>
  <c r="J694" i="1"/>
  <c r="J696" i="1"/>
  <c r="J698" i="1"/>
  <c r="J700" i="1"/>
  <c r="J702" i="1"/>
  <c r="J704" i="1"/>
  <c r="J706" i="1"/>
  <c r="J708" i="1"/>
  <c r="J710" i="1"/>
  <c r="J712" i="1"/>
  <c r="J714" i="1"/>
  <c r="J716" i="1"/>
  <c r="J718" i="1"/>
  <c r="J720" i="1"/>
  <c r="J722" i="1"/>
  <c r="J724" i="1"/>
  <c r="J726" i="1"/>
  <c r="J728" i="1"/>
  <c r="J730" i="1"/>
  <c r="F9" i="2" l="1"/>
  <c r="I9" i="2" s="1"/>
  <c r="F13" i="2"/>
  <c r="J13" i="2" s="1"/>
  <c r="F12" i="2"/>
  <c r="I12" i="2" s="1"/>
  <c r="F8" i="2"/>
  <c r="I8" i="2" s="1"/>
  <c r="G8" i="2"/>
  <c r="F6" i="2"/>
  <c r="I6" i="2" s="1"/>
  <c r="G13" i="2"/>
  <c r="E6" i="2"/>
  <c r="E14" i="2"/>
  <c r="F14" i="2"/>
  <c r="I14" i="2" s="1"/>
  <c r="D16" i="2"/>
  <c r="G16" i="2" s="1"/>
  <c r="A9" i="3" s="1"/>
  <c r="F5" i="2"/>
  <c r="B16" i="2"/>
  <c r="E16" i="2" s="1"/>
  <c r="E9" i="3" s="1"/>
  <c r="F4" i="2"/>
  <c r="I4" i="2" s="1"/>
  <c r="E4" i="2"/>
  <c r="G9" i="2"/>
  <c r="E10" i="2"/>
  <c r="F10" i="2"/>
  <c r="E5" i="2"/>
  <c r="F11" i="2"/>
  <c r="E11" i="2"/>
  <c r="E12" i="2"/>
  <c r="F7" i="2"/>
  <c r="E7" i="2"/>
  <c r="F15" i="2"/>
  <c r="E15" i="2"/>
  <c r="I13" i="2" l="1"/>
  <c r="J9" i="2"/>
  <c r="J12" i="2"/>
  <c r="J8" i="2"/>
  <c r="F16" i="2"/>
  <c r="J6" i="2"/>
  <c r="I11" i="2"/>
  <c r="J11" i="2"/>
  <c r="J14" i="2"/>
  <c r="I15" i="2"/>
  <c r="J15" i="2"/>
  <c r="I7" i="2"/>
  <c r="J7" i="2"/>
  <c r="I5" i="2"/>
  <c r="J5" i="2"/>
  <c r="J4" i="2"/>
  <c r="I10" i="2"/>
  <c r="J10" i="2"/>
  <c r="J16" i="2" l="1"/>
  <c r="G9" i="3" s="1"/>
  <c r="C9" i="3"/>
  <c r="I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67FD7B17-E21D-4D18-BE13-8228EC56BFC6}">
      <text>
        <r>
          <rPr>
            <sz val="10"/>
            <rFont val="Arial"/>
            <family val="2"/>
          </rPr>
          <t>MOCK DATA: generated with seasonality, weekday and event patterns for a Dublin city-centre hotel. Replace blue inputs with real data.</t>
        </r>
      </text>
    </comment>
  </commentList>
</comments>
</file>

<file path=xl/sharedStrings.xml><?xml version="1.0" encoding="utf-8"?>
<sst xmlns="http://schemas.openxmlformats.org/spreadsheetml/2006/main" count="873" uniqueCount="58">
  <si>
    <t>Date</t>
  </si>
  <si>
    <t>Property</t>
  </si>
  <si>
    <t>Month</t>
  </si>
  <si>
    <t>Season</t>
  </si>
  <si>
    <t>Day</t>
  </si>
  <si>
    <t>Rooms Sold</t>
  </si>
  <si>
    <t>Total Rooms Available</t>
  </si>
  <si>
    <t>Room Revenue (€)</t>
  </si>
  <si>
    <t>Competitor Set Avg Rate (€)</t>
  </si>
  <si>
    <t>Occupancy %</t>
  </si>
  <si>
    <t>ADR (€)</t>
  </si>
  <si>
    <t>RevPAR (€)</t>
  </si>
  <si>
    <t>Rate Variance vs CompSet (€)</t>
  </si>
  <si>
    <t>Event / Demand Driver</t>
  </si>
  <si>
    <t>Rugby international weekend</t>
  </si>
  <si>
    <t>St Patrick's Festival</t>
  </si>
  <si>
    <t>Stadium concert (illustrative)</t>
  </si>
  <si>
    <t>GAA All-Ireland weekend</t>
  </si>
  <si>
    <t>Dublin Horse Show</t>
  </si>
  <si>
    <t>Conference / congress cluster</t>
  </si>
  <si>
    <t>Dublin Marathon weekend</t>
  </si>
  <si>
    <t>Halloween weekend</t>
  </si>
  <si>
    <t>Christmas shopping / events</t>
  </si>
  <si>
    <t>New Year's Eve</t>
  </si>
  <si>
    <t>Rooms Available</t>
  </si>
  <si>
    <t>CompSet Avg Rate (€)</t>
  </si>
  <si>
    <t>Rate Variance (€)</t>
  </si>
  <si>
    <t>Rate Index (ADR/CompSet ×100)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</si>
  <si>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</si>
  <si>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</si>
  <si>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</si>
  <si>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</si>
  <si>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</si>
  <si>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</si>
  <si>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</si>
  <si>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</si>
  <si>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</si>
  <si>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</si>
  <si>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</si>
  <si>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</si>
  <si>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</si>
  <si>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150 rooms</t>
  </si>
  <si>
    <t>125 rooms</t>
  </si>
  <si>
    <t>Overall Occupancy</t>
  </si>
  <si>
    <t>CompSet Rate Index</t>
  </si>
  <si>
    <t>Liffey Quarter Hotels -</t>
  </si>
  <si>
    <t>Hotel California -</t>
  </si>
  <si>
    <t>YTD RevPAR (€)</t>
  </si>
  <si>
    <t>Average ADR (€)</t>
  </si>
  <si>
    <t>Glossary:</t>
  </si>
  <si>
    <t>ADR - Average Daily Rate (€)</t>
  </si>
  <si>
    <t>RevPAR - Revenue Per Available Room</t>
  </si>
  <si>
    <t>CompSet - Competitor Set Rates</t>
  </si>
  <si>
    <t>Property:</t>
  </si>
  <si>
    <t>Choose Hotel:</t>
  </si>
  <si>
    <t>Liffey Quarter Hotel</t>
  </si>
  <si>
    <t>Hotel California</t>
  </si>
  <si>
    <t>Mbappe Group of Hotels | Dashboard | Revenue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</si>
</sst>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"/>
    <numFmt numFmtId="165" formatCode="\€#,##0;&quot;(€&quot;#,##0\);\-"/>
    <numFmt numFmtId="166" formatCode="\€#,##0.00"/>
    <numFmt numFmtId="167" formatCode="0.0%"/>
    <numFmt numFmtId="168" formatCode="\€#,##0.00;[Red]&quot;(€&quot;#,##0.00\);\-"/>
    <numFmt numFmtId="169" formatCode="\€#,##0"/>
    <numFmt numFmtId="170" formatCode="\€#,##0.00;[Red]&quot;(€&quot;#,##0.00\)"/>
    <numFmt numFmtId="171" formatCode="0.0"/>
  </numFmts>
  <fonts count="1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1"/>
      <color theme="0" tint="-0.499984740745262"/>
      <name val="Calibri"/>
      <family val="2"/>
      <charset val="1"/>
    </font>
    <font>
      <b/>
      <sz val="11"/>
      <color theme="1"/>
      <name val="Calibri"/>
      <family val="2"/>
    </font>
    <font>
      <sz val="22"/>
      <color theme="1"/>
      <name val="Calibri"/>
      <family val="2"/>
      <charset val="1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rgb="FF333333"/>
      </patternFill>
    </fill>
    <fill>
      <patternFill patternType="solid">
        <fgColor rgb="FFDDEBF7"/>
        <bgColor rgb="FFF2F6FA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67" fontId="4" fillId="0" borderId="0" xfId="0" applyNumberFormat="1" applyFont="1"/>
    <xf numFmtId="166" fontId="4" fillId="0" borderId="0" xfId="0" applyNumberFormat="1" applyFont="1"/>
    <xf numFmtId="168" fontId="4" fillId="0" borderId="0" xfId="0" applyNumberFormat="1" applyFont="1"/>
    <xf numFmtId="164" fontId="5" fillId="0" borderId="0" xfId="0" applyNumberFormat="1" applyFont="1"/>
    <xf numFmtId="0" fontId="5" fillId="0" borderId="0" xfId="0" applyFont="1"/>
    <xf numFmtId="3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169" fontId="0" fillId="0" borderId="0" xfId="0" applyNumberFormat="1"/>
    <xf numFmtId="166" fontId="0" fillId="0" borderId="0" xfId="0" applyNumberFormat="1"/>
    <xf numFmtId="170" fontId="4" fillId="0" borderId="0" xfId="0" applyNumberFormat="1" applyFont="1"/>
    <xf numFmtId="171" fontId="4" fillId="0" borderId="0" xfId="0" applyNumberFormat="1" applyFont="1"/>
    <xf numFmtId="0" fontId="6" fillId="3" borderId="0" xfId="0" applyFont="1" applyFill="1"/>
    <xf numFmtId="3" fontId="6" fillId="3" borderId="0" xfId="0" applyNumberFormat="1" applyFont="1" applyFill="1"/>
    <xf numFmtId="169" fontId="6" fillId="3" borderId="0" xfId="0" applyNumberFormat="1" applyFont="1" applyFill="1"/>
    <xf numFmtId="167" fontId="6" fillId="3" borderId="0" xfId="0" applyNumberFormat="1" applyFont="1" applyFill="1"/>
    <xf numFmtId="166" fontId="6" fillId="3" borderId="0" xfId="0" applyNumberFormat="1" applyFont="1" applyFill="1"/>
    <xf numFmtId="166" fontId="0" fillId="3" borderId="0" xfId="0" applyNumberFormat="1" applyFill="1"/>
    <xf numFmtId="170" fontId="6" fillId="3" borderId="0" xfId="0" applyNumberFormat="1" applyFont="1" applyFill="1"/>
    <xf numFmtId="171" fontId="6" fillId="3" borderId="0" xfId="0" applyNumberFormat="1" applyFont="1" applyFill="1"/>
    <xf numFmtId="0" fontId="7" fillId="4" borderId="0" xfId="0" applyFont="1" applyFill="1"/>
    <xf numFmtId="0" fontId="8" fillId="0" borderId="0" xfId="0" applyFont="1"/>
    <xf numFmtId="0" fontId="0" fillId="5" borderId="0" xfId="0" applyFill="1"/>
    <xf numFmtId="0" fontId="0" fillId="0" borderId="1" xfId="0" applyBorder="1"/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0" fillId="7" borderId="0" xfId="0" applyFill="1"/>
  </cellXfs>
  <cellStyles count="2">
    <cellStyle name="Normal" xfId="0" builtinId="0"/>
    <cellStyle name="Percent" xfId="1" builtinId="5"/>
  </cellStyles>
  <dxfs count="10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ill>
        <patternFill patternType="solid">
          <fgColor rgb="FF333333"/>
          <bgColor theme="8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RevPAR VS Competitor Set Avg Rate (€)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71571626795058"/>
          <c:y val="0.17899645455710439"/>
          <c:w val="0.8467823528428372"/>
          <c:h val="0.61901724309777728"/>
        </c:manualLayout>
      </c:layout>
      <c:lineChart>
        <c:grouping val="standard"/>
        <c:varyColors val="0"/>
        <c:ser>
          <c:idx val="0"/>
          <c:order val="0"/>
          <c:tx>
            <c:strRef>
              <c:f>'Monthly Data'!$G$3</c:f>
              <c:strCache>
                <c:ptCount val="1"/>
                <c:pt idx="0">
                  <c:v>RevPAR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Data'!$A$4:$A$15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Data'!$G$4:$G$15</c:f>
              <c:numCache>
                <c:formatCode>\€#,##0.00</c:formatCode>
                <c:ptCount val="12"/>
                <c:pt idx="0">
                  <c:v>199.55019354838709</c:v>
                </c:pt>
                <c:pt idx="1">
                  <c:v>191.6982857142857</c:v>
                </c:pt>
                <c:pt idx="2">
                  <c:v>192.4418064516129</c:v>
                </c:pt>
                <c:pt idx="3">
                  <c:v>156.87813333333332</c:v>
                </c:pt>
                <c:pt idx="4">
                  <c:v>167.88103225806452</c:v>
                </c:pt>
                <c:pt idx="5">
                  <c:v>164.7664</c:v>
                </c:pt>
                <c:pt idx="6">
                  <c:v>170.42735483870968</c:v>
                </c:pt>
                <c:pt idx="7">
                  <c:v>205.46167741935483</c:v>
                </c:pt>
                <c:pt idx="8">
                  <c:v>174.20160000000001</c:v>
                </c:pt>
                <c:pt idx="9">
                  <c:v>200.9625806451613</c:v>
                </c:pt>
                <c:pt idx="10">
                  <c:v>176.95706666666666</c:v>
                </c:pt>
                <c:pt idx="11">
                  <c:v>173.28593548387096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0-433F-B798-A1CB68464A8A}"/>
            </c:ext>
          </c:extLst>
        </c:ser>
        <c:ser>
          <c:idx val="1"/>
          <c:order val="1"/>
          <c:tx>
            <c:strRef>
              <c:f>'Monthly Data'!$H$3</c:f>
              <c:strCache>
                <c:ptCount val="1"/>
                <c:pt idx="0">
                  <c:v>CompSet Avg Rate (€)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Data'!$A$4:$A$15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Data'!$H$4:$H$15</c:f>
              <c:numCache>
                <c:formatCode>\€#,##0.00</c:formatCode>
                <c:ptCount val="12"/>
                <c:pt idx="0">
                  <c:v>187.09677419354838</c:v>
                </c:pt>
                <c:pt idx="1">
                  <c:v>179.78571428571428</c:v>
                </c:pt>
                <c:pt idx="2">
                  <c:v>192.51612903225808</c:v>
                </c:pt>
                <c:pt idx="3">
                  <c:v>173.5</c:v>
                </c:pt>
                <c:pt idx="4">
                  <c:v>180.03225806451613</c:v>
                </c:pt>
                <c:pt idx="5">
                  <c:v>188.4</c:v>
                </c:pt>
                <c:pt idx="6">
                  <c:v>181.58064516129033</c:v>
                </c:pt>
                <c:pt idx="7">
                  <c:v>188.64516129032259</c:v>
                </c:pt>
                <c:pt idx="8">
                  <c:v>195.83333333333334</c:v>
                </c:pt>
                <c:pt idx="9">
                  <c:v>184.12903225806451</c:v>
                </c:pt>
                <c:pt idx="10">
                  <c:v>181.06666666666666</c:v>
                </c:pt>
                <c:pt idx="11">
                  <c:v>184.58064516129033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B20-433F-B798-A1CB68464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637071"/>
        <c:axId val="1946035263"/>
      </c:lineChart>
      <c:catAx>
        <c:axId val="162163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35263"/>
        <c:crosses val="autoZero"/>
        <c:auto val="1"/>
        <c:lblAlgn val="ctr"/>
        <c:lblOffset val="100"/>
        <c:noMultiLvlLbl val="0"/>
      </c:catAx>
      <c:valAx>
        <c:axId val="194603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€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63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82550</xdr:rowOff>
    </xdr:from>
    <xdr:to>
      <xdr:col>9</xdr:col>
      <xdr:colOff>184150</xdr:colOff>
      <xdr:row>29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FE19F-5B43-CABC-4163-DD93C4A75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F5005-F26B-4CEB-93E4-C01294D43D4C}" name="HotelData" displayName="HotelData" ref="A1:N731" totalsRowShown="0" headerRowDxfId="9">
  <autoFilter ref="A1:N731" xr:uid="{00000000-0009-0000-0100-000001000000}"/>
  <tableColumns count="14">
    <tableColumn id="1" xr3:uid="{0CD89A80-E271-46DB-9810-0D364FDAD891}" name="Date" dataDxfId="8"/>
    <tableColumn id="2" xr3:uid="{5C491BE9-759C-4CDD-8F89-7364D420BA9E}" name="Property" dataDxfId="7"/>
    <tableColumn id="3" xr3:uid="{9D41CACB-46C0-45A0-9D21-0AA4B96A236C}" name="Month">
      <calculatedColumnFormula>CHOOSE(MONTH(A2),"Jan","Feb","Mar","Apr","May","Jun","Jul","Aug","Sep","Oct","Nov","Dec")</calculatedColumnFormula>
    </tableColumn>
    <tableColumn id="4" xr3:uid="{4F7190D7-03A4-4787-BB38-5C46EA1C2FC2}" name="Season">
      <calculatedColumnFormula>IF(AND(MONTH(A2)&gt;=5,MONTH(A2)&lt;=9),"Peak","Off-Peak")</calculatedColumnFormula>
    </tableColumn>
    <tableColumn id="5" xr3:uid="{29CBBE11-C449-4BD9-A802-DD16763EA1B0}" name="Day">
      <calculatedColumnFormula>CHOOSE(WEEKDAY(A2,2),"Mon","Tue","Wed","Thu","Fri","Sat","Sun")</calculatedColumnFormula>
    </tableColumn>
    <tableColumn id="6" xr3:uid="{743B6C13-9C38-4FDE-A7D7-5E82EABEC4F9}" name="Rooms Sold" dataDxfId="6"/>
    <tableColumn id="7" xr3:uid="{58F03C13-B794-44BA-8C3B-250EC1151313}" name="Total Rooms Available" dataDxfId="5"/>
    <tableColumn id="8" xr3:uid="{D5D8683F-8565-4755-972C-4A45383D3AA8}" name="Room Revenue (€)" dataDxfId="4"/>
    <tableColumn id="9" xr3:uid="{2808DEB5-77F6-4ADC-8634-773C4AFA83A0}" name="Competitor Set Avg Rate (€)" dataDxfId="3"/>
    <tableColumn id="10" xr3:uid="{B3C2C456-7E45-4EFC-9EFD-E7B1FD4523D2}" name="Occupancy %" dataDxfId="2">
      <calculatedColumnFormula>IF(G2=0,0,F2/G2)</calculatedColumnFormula>
    </tableColumn>
    <tableColumn id="11" xr3:uid="{1C918EC2-E127-4E90-B304-7932C94CFB7B}" name="ADR (€)" dataDxfId="1">
      <calculatedColumnFormula>IF(F2=0,0,H2/F2)</calculatedColumnFormula>
    </tableColumn>
    <tableColumn id="12" xr3:uid="{2858B3EA-D871-4229-ACF4-9D94ECFEBCB2}" name="RevPAR (€)" dataDxfId="0">
      <calculatedColumnFormula>IF(G2=0,0,H2/G2)</calculatedColumnFormula>
    </tableColumn>
    <tableColumn id="13" xr3:uid="{13102E38-41CF-400E-B06B-009196C21CA9}" name="Rate Variance vs CompSet (€)">
      <calculatedColumnFormula>K2-I2</calculatedColumnFormula>
    </tableColumn>
    <tableColumn id="14" xr3:uid="{1147D20A-B9B2-4662-A1F7-1DF1FCA55DE3}" name="Event / Demand Driv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4A16-E623-4290-9BE0-CE802B6BD0E5}">
  <dimension ref="A1:T9"/>
  <sheetViews>
    <sheetView showGridLines="0" tabSelected="1" workbookViewId="0">
      <selection activeCell="A4" sqref="A4"/>
    </sheetView>
  </sheetViews>
  <sheetFormatPr defaultRowHeight="14.5" x14ac:dyDescent="0.35"/>
  <cols>
    <col min="2" max="2" width="13.26953125" customWidth="1"/>
    <col min="8" max="8" width="12.08984375" customWidth="1"/>
  </cols>
  <sheetData>
    <row r="1" spans="1:20" x14ac:dyDescent="0.35">
      <c r="A1" s="32" t="s">
        <v>57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28"/>
      <c r="O1" s="28"/>
      <c r="P1" s="28"/>
      <c r="Q1" s="28"/>
      <c r="R1" s="28"/>
      <c r="S1" s="28"/>
      <c r="T1" s="28"/>
    </row>
    <row r="2" spans="1:20" ht="14.5" customHeight="1" x14ac:dyDescent="0.3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28"/>
      <c r="O2" s="28"/>
      <c r="P2" s="28"/>
      <c r="Q2" s="28"/>
      <c r="R2" s="28"/>
      <c r="S2" s="28"/>
      <c r="T2" s="28"/>
    </row>
    <row r="3" spans="1:20" ht="14.5" customHeigh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28"/>
      <c r="O3" s="28"/>
      <c r="P3" s="28"/>
      <c r="Q3" s="28"/>
      <c r="R3" s="28"/>
      <c r="S3" s="28"/>
      <c r="T3" s="28"/>
    </row>
    <row r="4" spans="1:20" x14ac:dyDescent="0.35">
      <c r="A4" t="s">
        <v>45</v>
      </c>
      <c r="C4" t="s">
        <v>41</v>
      </c>
    </row>
    <row r="5" spans="1:20" x14ac:dyDescent="0.35">
      <c r="A5" t="s">
        <v>46</v>
      </c>
      <c r="C5" t="s">
        <v>42</v>
      </c>
    </row>
    <row r="6" spans="1:20" x14ac:dyDescent="0.35">
      <c r="A6" s="27" t="s">
        <v>53</v>
      </c>
      <c r="B6" s="34" t="s">
        <v>56</v>
      </c>
    </row>
    <row r="8" spans="1:20" x14ac:dyDescent="0.35">
      <c r="A8" s="33" t="s">
        <v>47</v>
      </c>
      <c r="B8" s="33"/>
      <c r="C8" s="33" t="s">
        <v>48</v>
      </c>
      <c r="D8" s="33"/>
      <c r="E8" s="33" t="s">
        <v>43</v>
      </c>
      <c r="F8" s="33"/>
      <c r="G8" s="33" t="s">
        <v>44</v>
      </c>
      <c r="H8" s="33"/>
    </row>
    <row r="9" spans="1:20" x14ac:dyDescent="0.35">
      <c r="A9" s="30">
        <f>'Monthly Data'!G16</f>
        <v>181.26568767123288</v>
      </c>
      <c r="B9" s="30"/>
      <c r="C9" s="30">
        <f>'Monthly Data'!F16</f>
        <v>220.12901250998138</v>
      </c>
      <c r="D9" s="30"/>
      <c r="E9" s="31">
        <f>'Monthly Data'!E16</f>
        <v>0.82345205479452055</v>
      </c>
      <c r="F9" s="31"/>
      <c r="G9" s="30">
        <f>'Monthly Data'!J16</f>
        <v>119.11389919966675</v>
      </c>
      <c r="H9" s="30"/>
    </row>
  </sheetData>
  <mergeCells count="9">
    <mergeCell ref="A9:B9"/>
    <mergeCell ref="C9:D9"/>
    <mergeCell ref="E9:F9"/>
    <mergeCell ref="G9:H9"/>
    <mergeCell ref="A1:M3"/>
    <mergeCell ref="A8:B8"/>
    <mergeCell ref="C8:D8"/>
    <mergeCell ref="E8:F8"/>
    <mergeCell ref="G8:H8"/>
  </mergeCells>
  <dataValidations count="1">
    <dataValidation type="list" allowBlank="1" showInputMessage="1" showErrorMessage="1" sqref="B6" xr:uid="{B12CCBED-9FEC-4618-A36F-5AFE342C021A}">
      <formula1>"Liffey Quarter Hotel, Hotel California, All Properties"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9614-6320-4971-B37A-138C1CFE5ED7}">
  <dimension ref="A1:N73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8.6328125" defaultRowHeight="14.5" x14ac:dyDescent="0.35"/>
  <cols>
    <col min="1" max="1" width="12" customWidth="1"/>
    <col min="2" max="2" width="26" customWidth="1"/>
    <col min="3" max="3" width="8" customWidth="1"/>
    <col min="4" max="4" width="10" customWidth="1"/>
    <col min="5" max="5" width="6" customWidth="1"/>
    <col min="6" max="6" width="11" customWidth="1"/>
    <col min="7" max="7" width="13" customWidth="1"/>
    <col min="8" max="8" width="15" customWidth="1"/>
    <col min="9" max="9" width="16" customWidth="1"/>
    <col min="10" max="10" width="12" customWidth="1"/>
    <col min="11" max="12" width="11" customWidth="1"/>
    <col min="13" max="13" width="16" customWidth="1"/>
    <col min="14" max="14" width="32" customWidth="1"/>
  </cols>
  <sheetData>
    <row r="1" spans="1:14" ht="42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x14ac:dyDescent="0.35">
      <c r="A2" s="6">
        <v>45658</v>
      </c>
      <c r="B2" s="7" t="s">
        <v>55</v>
      </c>
      <c r="C2" s="2" t="str">
        <f t="shared" ref="C2:C65" si="0">CHOOSE(MONTH(A2),"Jan","Feb","Mar","Apr","May","Jun","Jul","Aug","Sep","Oct","Nov","Dec")</f>
        <v>Jan</v>
      </c>
      <c r="D2" s="2" t="str">
        <f t="shared" ref="D2:D65" si="1">IF(AND(MONTH(A2)&gt;=5,MONTH(A2)&lt;=9),"Peak","Off-Peak")</f>
        <v>Off-Peak</v>
      </c>
      <c r="E2" s="2" t="str">
        <f t="shared" ref="E2:E65" si="2">CHOOSE(WEEKDAY(A2,2),"Mon","Tue","Wed","Thu","Fri","Sat","Sun")</f>
        <v>Wed</v>
      </c>
      <c r="F2" s="8">
        <v>91</v>
      </c>
      <c r="G2" s="8">
        <v>150</v>
      </c>
      <c r="H2" s="9">
        <v>11583.98</v>
      </c>
      <c r="I2" s="10">
        <v>131.84</v>
      </c>
      <c r="J2" s="11">
        <f t="shared" ref="J2:J65" si="3">IF(G2=0,0,F2/G2)</f>
        <v>0.60666666666666669</v>
      </c>
      <c r="K2" s="10">
        <f t="shared" ref="K2:K65" si="4">IF(F2=0,0,H2/F2)</f>
        <v>127.29648351648351</v>
      </c>
      <c r="L2" s="10">
        <f t="shared" ref="L2:L65" si="5">IF(G2=0,0,H2/G2)</f>
        <v>77.226533333333336</v>
      </c>
      <c r="M2" s="5">
        <f t="shared" ref="M2:M65" si="6">K2-I2</f>
        <v>-4.5435164835164983</v>
      </c>
      <c r="N2" s="1"/>
    </row>
    <row r="3" spans="1:14" x14ac:dyDescent="0.35">
      <c r="A3" s="6">
        <v>45659</v>
      </c>
      <c r="B3" s="7" t="s">
        <v>55</v>
      </c>
      <c r="C3" s="2" t="str">
        <f t="shared" si="0"/>
        <v>Jan</v>
      </c>
      <c r="D3" s="2" t="str">
        <f t="shared" si="1"/>
        <v>Off-Peak</v>
      </c>
      <c r="E3" s="2" t="str">
        <f t="shared" si="2"/>
        <v>Thu</v>
      </c>
      <c r="F3" s="8">
        <v>99</v>
      </c>
      <c r="G3" s="8">
        <v>150</v>
      </c>
      <c r="H3" s="9">
        <v>14106.16</v>
      </c>
      <c r="I3" s="10">
        <v>135.18</v>
      </c>
      <c r="J3" s="11">
        <f t="shared" si="3"/>
        <v>0.66</v>
      </c>
      <c r="K3" s="10">
        <f t="shared" si="4"/>
        <v>142.48646464646464</v>
      </c>
      <c r="L3" s="10">
        <f t="shared" si="5"/>
        <v>94.041066666666666</v>
      </c>
      <c r="M3" s="5">
        <f t="shared" si="6"/>
        <v>7.306464646464633</v>
      </c>
      <c r="N3" s="1"/>
    </row>
    <row r="4" spans="1:14" x14ac:dyDescent="0.35">
      <c r="A4" s="6">
        <v>45660</v>
      </c>
      <c r="B4" s="7" t="s">
        <v>55</v>
      </c>
      <c r="C4" s="2" t="str">
        <f t="shared" si="0"/>
        <v>Jan</v>
      </c>
      <c r="D4" s="2" t="str">
        <f t="shared" si="1"/>
        <v>Off-Peak</v>
      </c>
      <c r="E4" s="2" t="str">
        <f t="shared" si="2"/>
        <v>Fri</v>
      </c>
      <c r="F4" s="8">
        <v>101</v>
      </c>
      <c r="G4" s="8">
        <v>150</v>
      </c>
      <c r="H4" s="9">
        <v>13896.7</v>
      </c>
      <c r="I4" s="10">
        <v>139.94</v>
      </c>
      <c r="J4" s="11">
        <f t="shared" si="3"/>
        <v>0.67333333333333334</v>
      </c>
      <c r="K4" s="10">
        <f t="shared" si="4"/>
        <v>137.59108910891089</v>
      </c>
      <c r="L4" s="10">
        <f t="shared" si="5"/>
        <v>92.644666666666666</v>
      </c>
      <c r="M4" s="5">
        <f t="shared" si="6"/>
        <v>-2.3489108910891048</v>
      </c>
      <c r="N4" s="1"/>
    </row>
    <row r="5" spans="1:14" x14ac:dyDescent="0.35">
      <c r="A5" s="6">
        <v>45661</v>
      </c>
      <c r="B5" s="7" t="s">
        <v>55</v>
      </c>
      <c r="C5" s="2" t="str">
        <f t="shared" si="0"/>
        <v>Jan</v>
      </c>
      <c r="D5" s="2" t="str">
        <f t="shared" si="1"/>
        <v>Off-Peak</v>
      </c>
      <c r="E5" s="2" t="str">
        <f t="shared" si="2"/>
        <v>Sat</v>
      </c>
      <c r="F5" s="8">
        <v>104</v>
      </c>
      <c r="G5" s="8">
        <v>150</v>
      </c>
      <c r="H5" s="9">
        <v>14778.05</v>
      </c>
      <c r="I5" s="10">
        <v>136.53</v>
      </c>
      <c r="J5" s="11">
        <f t="shared" si="3"/>
        <v>0.69333333333333336</v>
      </c>
      <c r="K5" s="10">
        <f t="shared" si="4"/>
        <v>142.0966346153846</v>
      </c>
      <c r="L5" s="10">
        <f t="shared" si="5"/>
        <v>98.520333333333326</v>
      </c>
      <c r="M5" s="5">
        <f t="shared" si="6"/>
        <v>5.5666346153846007</v>
      </c>
      <c r="N5" s="1"/>
    </row>
    <row r="6" spans="1:14" x14ac:dyDescent="0.35">
      <c r="A6" s="6">
        <v>45662</v>
      </c>
      <c r="B6" s="7" t="s">
        <v>55</v>
      </c>
      <c r="C6" s="2" t="str">
        <f t="shared" si="0"/>
        <v>Jan</v>
      </c>
      <c r="D6" s="2" t="str">
        <f t="shared" si="1"/>
        <v>Off-Peak</v>
      </c>
      <c r="E6" s="2" t="str">
        <f t="shared" si="2"/>
        <v>Sun</v>
      </c>
      <c r="F6" s="8">
        <v>85</v>
      </c>
      <c r="G6" s="8">
        <v>150</v>
      </c>
      <c r="H6" s="9">
        <v>10393.59</v>
      </c>
      <c r="I6" s="10">
        <v>128.96</v>
      </c>
      <c r="J6" s="11">
        <f t="shared" si="3"/>
        <v>0.56666666666666665</v>
      </c>
      <c r="K6" s="10">
        <f t="shared" si="4"/>
        <v>122.2775294117647</v>
      </c>
      <c r="L6" s="10">
        <f t="shared" si="5"/>
        <v>69.290599999999998</v>
      </c>
      <c r="M6" s="5">
        <f t="shared" si="6"/>
        <v>-6.6824705882353044</v>
      </c>
      <c r="N6" s="1"/>
    </row>
    <row r="7" spans="1:14" x14ac:dyDescent="0.35">
      <c r="A7" s="6">
        <v>45663</v>
      </c>
      <c r="B7" s="7" t="s">
        <v>55</v>
      </c>
      <c r="C7" s="2" t="str">
        <f t="shared" si="0"/>
        <v>Jan</v>
      </c>
      <c r="D7" s="2" t="str">
        <f t="shared" si="1"/>
        <v>Off-Peak</v>
      </c>
      <c r="E7" s="2" t="str">
        <f t="shared" si="2"/>
        <v>Mon</v>
      </c>
      <c r="F7" s="8">
        <v>88</v>
      </c>
      <c r="G7" s="8">
        <v>150</v>
      </c>
      <c r="H7" s="9">
        <v>10851.92</v>
      </c>
      <c r="I7" s="10">
        <v>126.54</v>
      </c>
      <c r="J7" s="11">
        <f t="shared" si="3"/>
        <v>0.58666666666666667</v>
      </c>
      <c r="K7" s="10">
        <f t="shared" si="4"/>
        <v>123.31727272727272</v>
      </c>
      <c r="L7" s="10">
        <f t="shared" si="5"/>
        <v>72.346133333333327</v>
      </c>
      <c r="M7" s="5">
        <f t="shared" si="6"/>
        <v>-3.2227272727272833</v>
      </c>
      <c r="N7" s="1"/>
    </row>
    <row r="8" spans="1:14" x14ac:dyDescent="0.35">
      <c r="A8" s="6">
        <v>45664</v>
      </c>
      <c r="B8" s="7" t="s">
        <v>55</v>
      </c>
      <c r="C8" s="2" t="str">
        <f t="shared" si="0"/>
        <v>Jan</v>
      </c>
      <c r="D8" s="2" t="str">
        <f t="shared" si="1"/>
        <v>Off-Peak</v>
      </c>
      <c r="E8" s="2" t="str">
        <f t="shared" si="2"/>
        <v>Tue</v>
      </c>
      <c r="F8" s="8">
        <v>94</v>
      </c>
      <c r="G8" s="8">
        <v>150</v>
      </c>
      <c r="H8" s="9">
        <v>12432.33</v>
      </c>
      <c r="I8" s="10">
        <v>135.57</v>
      </c>
      <c r="J8" s="11">
        <f t="shared" si="3"/>
        <v>0.62666666666666671</v>
      </c>
      <c r="K8" s="10">
        <f t="shared" si="4"/>
        <v>132.25882978723405</v>
      </c>
      <c r="L8" s="10">
        <f t="shared" si="5"/>
        <v>82.882199999999997</v>
      </c>
      <c r="M8" s="5">
        <f t="shared" si="6"/>
        <v>-3.3111702127659441</v>
      </c>
      <c r="N8" s="1"/>
    </row>
    <row r="9" spans="1:14" x14ac:dyDescent="0.35">
      <c r="A9" s="6">
        <v>45665</v>
      </c>
      <c r="B9" s="7" t="s">
        <v>55</v>
      </c>
      <c r="C9" s="2" t="str">
        <f t="shared" si="0"/>
        <v>Jan</v>
      </c>
      <c r="D9" s="2" t="str">
        <f t="shared" si="1"/>
        <v>Off-Peak</v>
      </c>
      <c r="E9" s="2" t="str">
        <f t="shared" si="2"/>
        <v>Wed</v>
      </c>
      <c r="F9" s="8">
        <v>95</v>
      </c>
      <c r="G9" s="8">
        <v>150</v>
      </c>
      <c r="H9" s="9">
        <v>11746.85</v>
      </c>
      <c r="I9" s="10">
        <v>129.61000000000001</v>
      </c>
      <c r="J9" s="11">
        <f t="shared" si="3"/>
        <v>0.6333333333333333</v>
      </c>
      <c r="K9" s="10">
        <f t="shared" si="4"/>
        <v>123.65105263157895</v>
      </c>
      <c r="L9" s="10">
        <f t="shared" si="5"/>
        <v>78.312333333333342</v>
      </c>
      <c r="M9" s="5">
        <f t="shared" si="6"/>
        <v>-5.9589473684210645</v>
      </c>
      <c r="N9" s="1"/>
    </row>
    <row r="10" spans="1:14" x14ac:dyDescent="0.35">
      <c r="A10" s="6">
        <v>45666</v>
      </c>
      <c r="B10" s="7" t="s">
        <v>55</v>
      </c>
      <c r="C10" s="2" t="str">
        <f t="shared" si="0"/>
        <v>Jan</v>
      </c>
      <c r="D10" s="2" t="str">
        <f t="shared" si="1"/>
        <v>Off-Peak</v>
      </c>
      <c r="E10" s="2" t="str">
        <f t="shared" si="2"/>
        <v>Thu</v>
      </c>
      <c r="F10" s="8">
        <v>94</v>
      </c>
      <c r="G10" s="8">
        <v>150</v>
      </c>
      <c r="H10" s="9">
        <v>13042.58</v>
      </c>
      <c r="I10" s="10">
        <v>133.07</v>
      </c>
      <c r="J10" s="11">
        <f t="shared" si="3"/>
        <v>0.62666666666666671</v>
      </c>
      <c r="K10" s="10">
        <f t="shared" si="4"/>
        <v>138.7508510638298</v>
      </c>
      <c r="L10" s="10">
        <f t="shared" si="5"/>
        <v>86.95053333333334</v>
      </c>
      <c r="M10" s="5">
        <f t="shared" si="6"/>
        <v>5.680851063829806</v>
      </c>
      <c r="N10" s="1"/>
    </row>
    <row r="11" spans="1:14" x14ac:dyDescent="0.35">
      <c r="A11" s="6">
        <v>45667</v>
      </c>
      <c r="B11" s="7" t="s">
        <v>55</v>
      </c>
      <c r="C11" s="2" t="str">
        <f t="shared" si="0"/>
        <v>Jan</v>
      </c>
      <c r="D11" s="2" t="str">
        <f t="shared" si="1"/>
        <v>Off-Peak</v>
      </c>
      <c r="E11" s="2" t="str">
        <f t="shared" si="2"/>
        <v>Fri</v>
      </c>
      <c r="F11" s="8">
        <v>99</v>
      </c>
      <c r="G11" s="8">
        <v>150</v>
      </c>
      <c r="H11" s="9">
        <v>13765.43</v>
      </c>
      <c r="I11" s="10">
        <v>141.97</v>
      </c>
      <c r="J11" s="11">
        <f t="shared" si="3"/>
        <v>0.66</v>
      </c>
      <c r="K11" s="10">
        <f t="shared" si="4"/>
        <v>139.04474747474748</v>
      </c>
      <c r="L11" s="10">
        <f t="shared" si="5"/>
        <v>91.769533333333342</v>
      </c>
      <c r="M11" s="5">
        <f t="shared" si="6"/>
        <v>-2.9252525252525174</v>
      </c>
      <c r="N11" s="1"/>
    </row>
    <row r="12" spans="1:14" x14ac:dyDescent="0.35">
      <c r="A12" s="6">
        <v>45668</v>
      </c>
      <c r="B12" s="7" t="s">
        <v>55</v>
      </c>
      <c r="C12" s="2" t="str">
        <f t="shared" si="0"/>
        <v>Jan</v>
      </c>
      <c r="D12" s="2" t="str">
        <f t="shared" si="1"/>
        <v>Off-Peak</v>
      </c>
      <c r="E12" s="2" t="str">
        <f t="shared" si="2"/>
        <v>Sat</v>
      </c>
      <c r="F12" s="8">
        <v>110</v>
      </c>
      <c r="G12" s="8">
        <v>150</v>
      </c>
      <c r="H12" s="9">
        <v>15652.5</v>
      </c>
      <c r="I12" s="10">
        <v>140.62</v>
      </c>
      <c r="J12" s="11">
        <f t="shared" si="3"/>
        <v>0.73333333333333328</v>
      </c>
      <c r="K12" s="10">
        <f t="shared" si="4"/>
        <v>142.29545454545453</v>
      </c>
      <c r="L12" s="10">
        <f t="shared" si="5"/>
        <v>104.35</v>
      </c>
      <c r="M12" s="5">
        <f t="shared" si="6"/>
        <v>1.675454545454528</v>
      </c>
      <c r="N12" s="1"/>
    </row>
    <row r="13" spans="1:14" x14ac:dyDescent="0.35">
      <c r="A13" s="6">
        <v>45669</v>
      </c>
      <c r="B13" s="7" t="s">
        <v>55</v>
      </c>
      <c r="C13" s="2" t="str">
        <f t="shared" si="0"/>
        <v>Jan</v>
      </c>
      <c r="D13" s="2" t="str">
        <f t="shared" si="1"/>
        <v>Off-Peak</v>
      </c>
      <c r="E13" s="2" t="str">
        <f t="shared" si="2"/>
        <v>Sun</v>
      </c>
      <c r="F13" s="8">
        <v>83</v>
      </c>
      <c r="G13" s="8">
        <v>150</v>
      </c>
      <c r="H13" s="9">
        <v>10428.290000000001</v>
      </c>
      <c r="I13" s="10">
        <v>126.56</v>
      </c>
      <c r="J13" s="11">
        <f t="shared" si="3"/>
        <v>0.55333333333333334</v>
      </c>
      <c r="K13" s="10">
        <f t="shared" si="4"/>
        <v>125.6420481927711</v>
      </c>
      <c r="L13" s="10">
        <f t="shared" si="5"/>
        <v>69.521933333333337</v>
      </c>
      <c r="M13" s="5">
        <f t="shared" si="6"/>
        <v>-0.91795180722890279</v>
      </c>
      <c r="N13" s="1"/>
    </row>
    <row r="14" spans="1:14" x14ac:dyDescent="0.35">
      <c r="A14" s="6">
        <v>45670</v>
      </c>
      <c r="B14" s="7" t="s">
        <v>55</v>
      </c>
      <c r="C14" s="2" t="str">
        <f t="shared" si="0"/>
        <v>Jan</v>
      </c>
      <c r="D14" s="2" t="str">
        <f t="shared" si="1"/>
        <v>Off-Peak</v>
      </c>
      <c r="E14" s="2" t="str">
        <f t="shared" si="2"/>
        <v>Mon</v>
      </c>
      <c r="F14" s="8">
        <v>86</v>
      </c>
      <c r="G14" s="8">
        <v>150</v>
      </c>
      <c r="H14" s="9">
        <v>11139.1</v>
      </c>
      <c r="I14" s="10">
        <v>124.63</v>
      </c>
      <c r="J14" s="11">
        <f t="shared" si="3"/>
        <v>0.57333333333333336</v>
      </c>
      <c r="K14" s="10">
        <f t="shared" si="4"/>
        <v>129.52441860465117</v>
      </c>
      <c r="L14" s="10">
        <f t="shared" si="5"/>
        <v>74.260666666666665</v>
      </c>
      <c r="M14" s="5">
        <f t="shared" si="6"/>
        <v>4.8944186046511788</v>
      </c>
      <c r="N14" s="1"/>
    </row>
    <row r="15" spans="1:14" x14ac:dyDescent="0.35">
      <c r="A15" s="6">
        <v>45671</v>
      </c>
      <c r="B15" s="7" t="s">
        <v>55</v>
      </c>
      <c r="C15" s="2" t="str">
        <f t="shared" si="0"/>
        <v>Jan</v>
      </c>
      <c r="D15" s="2" t="str">
        <f t="shared" si="1"/>
        <v>Off-Peak</v>
      </c>
      <c r="E15" s="2" t="str">
        <f t="shared" si="2"/>
        <v>Tue</v>
      </c>
      <c r="F15" s="8">
        <v>88</v>
      </c>
      <c r="G15" s="8">
        <v>150</v>
      </c>
      <c r="H15" s="9">
        <v>10987.94</v>
      </c>
      <c r="I15" s="10">
        <v>132.85</v>
      </c>
      <c r="J15" s="11">
        <f t="shared" si="3"/>
        <v>0.58666666666666667</v>
      </c>
      <c r="K15" s="10">
        <f t="shared" si="4"/>
        <v>124.86295454545456</v>
      </c>
      <c r="L15" s="10">
        <f t="shared" si="5"/>
        <v>73.252933333333331</v>
      </c>
      <c r="M15" s="5">
        <f t="shared" si="6"/>
        <v>-7.9870454545454379</v>
      </c>
      <c r="N15" s="1"/>
    </row>
    <row r="16" spans="1:14" x14ac:dyDescent="0.35">
      <c r="A16" s="6">
        <v>45672</v>
      </c>
      <c r="B16" s="7" t="s">
        <v>55</v>
      </c>
      <c r="C16" s="2" t="str">
        <f t="shared" si="0"/>
        <v>Jan</v>
      </c>
      <c r="D16" s="2" t="str">
        <f t="shared" si="1"/>
        <v>Off-Peak</v>
      </c>
      <c r="E16" s="2" t="str">
        <f t="shared" si="2"/>
        <v>Wed</v>
      </c>
      <c r="F16" s="8">
        <v>97</v>
      </c>
      <c r="G16" s="8">
        <v>150</v>
      </c>
      <c r="H16" s="9">
        <v>12144.35</v>
      </c>
      <c r="I16" s="10">
        <v>131.83000000000001</v>
      </c>
      <c r="J16" s="11">
        <f t="shared" si="3"/>
        <v>0.64666666666666661</v>
      </c>
      <c r="K16" s="10">
        <f t="shared" si="4"/>
        <v>125.19948453608248</v>
      </c>
      <c r="L16" s="10">
        <f t="shared" si="5"/>
        <v>80.962333333333333</v>
      </c>
      <c r="M16" s="5">
        <f t="shared" si="6"/>
        <v>-6.6305154639175328</v>
      </c>
      <c r="N16" s="1"/>
    </row>
    <row r="17" spans="1:14" x14ac:dyDescent="0.35">
      <c r="A17" s="6">
        <v>45673</v>
      </c>
      <c r="B17" s="7" t="s">
        <v>55</v>
      </c>
      <c r="C17" s="2" t="str">
        <f t="shared" si="0"/>
        <v>Jan</v>
      </c>
      <c r="D17" s="2" t="str">
        <f t="shared" si="1"/>
        <v>Off-Peak</v>
      </c>
      <c r="E17" s="2" t="str">
        <f t="shared" si="2"/>
        <v>Thu</v>
      </c>
      <c r="F17" s="8">
        <v>93</v>
      </c>
      <c r="G17" s="8">
        <v>150</v>
      </c>
      <c r="H17" s="9">
        <v>11765.72</v>
      </c>
      <c r="I17" s="10">
        <v>134.03</v>
      </c>
      <c r="J17" s="11">
        <f t="shared" si="3"/>
        <v>0.62</v>
      </c>
      <c r="K17" s="10">
        <f t="shared" si="4"/>
        <v>126.51311827956988</v>
      </c>
      <c r="L17" s="10">
        <f t="shared" si="5"/>
        <v>78.438133333333326</v>
      </c>
      <c r="M17" s="5">
        <f t="shared" si="6"/>
        <v>-7.5168817204301206</v>
      </c>
      <c r="N17" s="1"/>
    </row>
    <row r="18" spans="1:14" x14ac:dyDescent="0.35">
      <c r="A18" s="6">
        <v>45674</v>
      </c>
      <c r="B18" s="7" t="s">
        <v>55</v>
      </c>
      <c r="C18" s="2" t="str">
        <f t="shared" si="0"/>
        <v>Jan</v>
      </c>
      <c r="D18" s="2" t="str">
        <f t="shared" si="1"/>
        <v>Off-Peak</v>
      </c>
      <c r="E18" s="2" t="str">
        <f t="shared" si="2"/>
        <v>Fri</v>
      </c>
      <c r="F18" s="8">
        <v>97</v>
      </c>
      <c r="G18" s="8">
        <v>150</v>
      </c>
      <c r="H18" s="9">
        <v>13055.69</v>
      </c>
      <c r="I18" s="10">
        <v>142.93</v>
      </c>
      <c r="J18" s="11">
        <f t="shared" si="3"/>
        <v>0.64666666666666661</v>
      </c>
      <c r="K18" s="10">
        <f t="shared" si="4"/>
        <v>134.59474226804124</v>
      </c>
      <c r="L18" s="10">
        <f t="shared" si="5"/>
        <v>87.037933333333342</v>
      </c>
      <c r="M18" s="5">
        <f t="shared" si="6"/>
        <v>-8.3352577319587624</v>
      </c>
      <c r="N18" s="1"/>
    </row>
    <row r="19" spans="1:14" x14ac:dyDescent="0.35">
      <c r="A19" s="6">
        <v>45675</v>
      </c>
      <c r="B19" s="7" t="s">
        <v>55</v>
      </c>
      <c r="C19" s="2" t="str">
        <f t="shared" si="0"/>
        <v>Jan</v>
      </c>
      <c r="D19" s="2" t="str">
        <f t="shared" si="1"/>
        <v>Off-Peak</v>
      </c>
      <c r="E19" s="2" t="str">
        <f t="shared" si="2"/>
        <v>Sat</v>
      </c>
      <c r="F19" s="8">
        <v>98</v>
      </c>
      <c r="G19" s="8">
        <v>150</v>
      </c>
      <c r="H19" s="9">
        <v>13508.81</v>
      </c>
      <c r="I19" s="10">
        <v>144.78</v>
      </c>
      <c r="J19" s="11">
        <f t="shared" si="3"/>
        <v>0.65333333333333332</v>
      </c>
      <c r="K19" s="10">
        <f t="shared" si="4"/>
        <v>137.845</v>
      </c>
      <c r="L19" s="10">
        <f t="shared" si="5"/>
        <v>90.058733333333336</v>
      </c>
      <c r="M19" s="5">
        <f t="shared" si="6"/>
        <v>-6.9350000000000023</v>
      </c>
      <c r="N19" s="1"/>
    </row>
    <row r="20" spans="1:14" x14ac:dyDescent="0.35">
      <c r="A20" s="6">
        <v>45676</v>
      </c>
      <c r="B20" s="7" t="s">
        <v>55</v>
      </c>
      <c r="C20" s="2" t="str">
        <f t="shared" si="0"/>
        <v>Jan</v>
      </c>
      <c r="D20" s="2" t="str">
        <f t="shared" si="1"/>
        <v>Off-Peak</v>
      </c>
      <c r="E20" s="2" t="str">
        <f t="shared" si="2"/>
        <v>Sun</v>
      </c>
      <c r="F20" s="8">
        <v>82</v>
      </c>
      <c r="G20" s="8">
        <v>150</v>
      </c>
      <c r="H20" s="9">
        <v>9867.35</v>
      </c>
      <c r="I20" s="10">
        <v>126.4</v>
      </c>
      <c r="J20" s="11">
        <f t="shared" si="3"/>
        <v>0.54666666666666663</v>
      </c>
      <c r="K20" s="10">
        <f t="shared" si="4"/>
        <v>120.33353658536586</v>
      </c>
      <c r="L20" s="10">
        <f t="shared" si="5"/>
        <v>65.782333333333341</v>
      </c>
      <c r="M20" s="5">
        <f t="shared" si="6"/>
        <v>-6.0664634146341427</v>
      </c>
      <c r="N20" s="1"/>
    </row>
    <row r="21" spans="1:14" x14ac:dyDescent="0.35">
      <c r="A21" s="6">
        <v>45677</v>
      </c>
      <c r="B21" s="7" t="s">
        <v>55</v>
      </c>
      <c r="C21" s="2" t="str">
        <f t="shared" si="0"/>
        <v>Jan</v>
      </c>
      <c r="D21" s="2" t="str">
        <f t="shared" si="1"/>
        <v>Off-Peak</v>
      </c>
      <c r="E21" s="2" t="str">
        <f t="shared" si="2"/>
        <v>Mon</v>
      </c>
      <c r="F21" s="8">
        <v>90</v>
      </c>
      <c r="G21" s="8">
        <v>150</v>
      </c>
      <c r="H21" s="9">
        <v>10786.92</v>
      </c>
      <c r="I21" s="10">
        <v>129.65</v>
      </c>
      <c r="J21" s="11">
        <f t="shared" si="3"/>
        <v>0.6</v>
      </c>
      <c r="K21" s="10">
        <f t="shared" si="4"/>
        <v>119.85466666666667</v>
      </c>
      <c r="L21" s="10">
        <f t="shared" si="5"/>
        <v>71.912800000000004</v>
      </c>
      <c r="M21" s="5">
        <f t="shared" si="6"/>
        <v>-9.7953333333333319</v>
      </c>
      <c r="N21" s="1"/>
    </row>
    <row r="22" spans="1:14" x14ac:dyDescent="0.35">
      <c r="A22" s="6">
        <v>45678</v>
      </c>
      <c r="B22" s="7" t="s">
        <v>55</v>
      </c>
      <c r="C22" s="2" t="str">
        <f t="shared" si="0"/>
        <v>Jan</v>
      </c>
      <c r="D22" s="2" t="str">
        <f t="shared" si="1"/>
        <v>Off-Peak</v>
      </c>
      <c r="E22" s="2" t="str">
        <f t="shared" si="2"/>
        <v>Tue</v>
      </c>
      <c r="F22" s="8">
        <v>90</v>
      </c>
      <c r="G22" s="8">
        <v>150</v>
      </c>
      <c r="H22" s="9">
        <v>11166.89</v>
      </c>
      <c r="I22" s="10">
        <v>130.51</v>
      </c>
      <c r="J22" s="11">
        <f t="shared" si="3"/>
        <v>0.6</v>
      </c>
      <c r="K22" s="10">
        <f t="shared" si="4"/>
        <v>124.07655555555554</v>
      </c>
      <c r="L22" s="10">
        <f t="shared" si="5"/>
        <v>74.445933333333329</v>
      </c>
      <c r="M22" s="5">
        <f t="shared" si="6"/>
        <v>-6.4334444444444472</v>
      </c>
      <c r="N22" s="1"/>
    </row>
    <row r="23" spans="1:14" x14ac:dyDescent="0.35">
      <c r="A23" s="6">
        <v>45679</v>
      </c>
      <c r="B23" s="7" t="s">
        <v>55</v>
      </c>
      <c r="C23" s="2" t="str">
        <f t="shared" si="0"/>
        <v>Jan</v>
      </c>
      <c r="D23" s="2" t="str">
        <f t="shared" si="1"/>
        <v>Off-Peak</v>
      </c>
      <c r="E23" s="2" t="str">
        <f t="shared" si="2"/>
        <v>Wed</v>
      </c>
      <c r="F23" s="8">
        <v>101</v>
      </c>
      <c r="G23" s="8">
        <v>150</v>
      </c>
      <c r="H23" s="9">
        <v>13274.35</v>
      </c>
      <c r="I23" s="10">
        <v>134.55000000000001</v>
      </c>
      <c r="J23" s="11">
        <f t="shared" si="3"/>
        <v>0.67333333333333334</v>
      </c>
      <c r="K23" s="10">
        <f t="shared" si="4"/>
        <v>131.42920792079209</v>
      </c>
      <c r="L23" s="10">
        <f t="shared" si="5"/>
        <v>88.495666666666665</v>
      </c>
      <c r="M23" s="5">
        <f t="shared" si="6"/>
        <v>-3.1207920792079165</v>
      </c>
      <c r="N23" s="1"/>
    </row>
    <row r="24" spans="1:14" x14ac:dyDescent="0.35">
      <c r="A24" s="6">
        <v>45680</v>
      </c>
      <c r="B24" s="7" t="s">
        <v>55</v>
      </c>
      <c r="C24" s="2" t="str">
        <f t="shared" si="0"/>
        <v>Jan</v>
      </c>
      <c r="D24" s="2" t="str">
        <f t="shared" si="1"/>
        <v>Off-Peak</v>
      </c>
      <c r="E24" s="2" t="str">
        <f t="shared" si="2"/>
        <v>Thu</v>
      </c>
      <c r="F24" s="8">
        <v>98</v>
      </c>
      <c r="G24" s="8">
        <v>150</v>
      </c>
      <c r="H24" s="9">
        <v>12382.52</v>
      </c>
      <c r="I24" s="10">
        <v>136.12</v>
      </c>
      <c r="J24" s="11">
        <f t="shared" si="3"/>
        <v>0.65333333333333332</v>
      </c>
      <c r="K24" s="10">
        <f t="shared" si="4"/>
        <v>126.35224489795918</v>
      </c>
      <c r="L24" s="10">
        <f t="shared" si="5"/>
        <v>82.550133333333335</v>
      </c>
      <c r="M24" s="5">
        <f t="shared" si="6"/>
        <v>-9.7677551020408231</v>
      </c>
      <c r="N24" s="1"/>
    </row>
    <row r="25" spans="1:14" x14ac:dyDescent="0.35">
      <c r="A25" s="6">
        <v>45681</v>
      </c>
      <c r="B25" s="7" t="s">
        <v>55</v>
      </c>
      <c r="C25" s="2" t="str">
        <f t="shared" si="0"/>
        <v>Jan</v>
      </c>
      <c r="D25" s="2" t="str">
        <f t="shared" si="1"/>
        <v>Off-Peak</v>
      </c>
      <c r="E25" s="2" t="str">
        <f t="shared" si="2"/>
        <v>Fri</v>
      </c>
      <c r="F25" s="8">
        <v>98</v>
      </c>
      <c r="G25" s="8">
        <v>150</v>
      </c>
      <c r="H25" s="9">
        <v>13114.67</v>
      </c>
      <c r="I25" s="10">
        <v>139.37</v>
      </c>
      <c r="J25" s="11">
        <f t="shared" si="3"/>
        <v>0.65333333333333332</v>
      </c>
      <c r="K25" s="10">
        <f t="shared" si="4"/>
        <v>133.82316326530614</v>
      </c>
      <c r="L25" s="10">
        <f t="shared" si="5"/>
        <v>87.431133333333335</v>
      </c>
      <c r="M25" s="5">
        <f t="shared" si="6"/>
        <v>-5.5468367346938692</v>
      </c>
      <c r="N25" s="1"/>
    </row>
    <row r="26" spans="1:14" x14ac:dyDescent="0.35">
      <c r="A26" s="6">
        <v>45682</v>
      </c>
      <c r="B26" s="7" t="s">
        <v>55</v>
      </c>
      <c r="C26" s="2" t="str">
        <f t="shared" si="0"/>
        <v>Jan</v>
      </c>
      <c r="D26" s="2" t="str">
        <f t="shared" si="1"/>
        <v>Off-Peak</v>
      </c>
      <c r="E26" s="2" t="str">
        <f t="shared" si="2"/>
        <v>Sat</v>
      </c>
      <c r="F26" s="8">
        <v>101</v>
      </c>
      <c r="G26" s="8">
        <v>150</v>
      </c>
      <c r="H26" s="9">
        <v>14482</v>
      </c>
      <c r="I26" s="10">
        <v>142.63</v>
      </c>
      <c r="J26" s="11">
        <f t="shared" si="3"/>
        <v>0.67333333333333334</v>
      </c>
      <c r="K26" s="10">
        <f t="shared" si="4"/>
        <v>143.38613861386139</v>
      </c>
      <c r="L26" s="10">
        <f t="shared" si="5"/>
        <v>96.546666666666667</v>
      </c>
      <c r="M26" s="5">
        <f t="shared" si="6"/>
        <v>0.75613861386139547</v>
      </c>
      <c r="N26" s="1"/>
    </row>
    <row r="27" spans="1:14" x14ac:dyDescent="0.35">
      <c r="A27" s="6">
        <v>45683</v>
      </c>
      <c r="B27" s="7" t="s">
        <v>55</v>
      </c>
      <c r="C27" s="2" t="str">
        <f t="shared" si="0"/>
        <v>Jan</v>
      </c>
      <c r="D27" s="2" t="str">
        <f t="shared" si="1"/>
        <v>Off-Peak</v>
      </c>
      <c r="E27" s="2" t="str">
        <f t="shared" si="2"/>
        <v>Sun</v>
      </c>
      <c r="F27" s="8">
        <v>89</v>
      </c>
      <c r="G27" s="8">
        <v>150</v>
      </c>
      <c r="H27" s="9">
        <v>10398.69</v>
      </c>
      <c r="I27" s="10">
        <v>126.64</v>
      </c>
      <c r="J27" s="11">
        <f t="shared" si="3"/>
        <v>0.59333333333333338</v>
      </c>
      <c r="K27" s="10">
        <f t="shared" si="4"/>
        <v>116.83921348314607</v>
      </c>
      <c r="L27" s="10">
        <f t="shared" si="5"/>
        <v>69.324600000000004</v>
      </c>
      <c r="M27" s="5">
        <f t="shared" si="6"/>
        <v>-9.8007865168539325</v>
      </c>
      <c r="N27" s="1"/>
    </row>
    <row r="28" spans="1:14" x14ac:dyDescent="0.35">
      <c r="A28" s="6">
        <v>45684</v>
      </c>
      <c r="B28" s="7" t="s">
        <v>55</v>
      </c>
      <c r="C28" s="2" t="str">
        <f t="shared" si="0"/>
        <v>Jan</v>
      </c>
      <c r="D28" s="2" t="str">
        <f t="shared" si="1"/>
        <v>Off-Peak</v>
      </c>
      <c r="E28" s="2" t="str">
        <f t="shared" si="2"/>
        <v>Mon</v>
      </c>
      <c r="F28" s="8">
        <v>86</v>
      </c>
      <c r="G28" s="8">
        <v>150</v>
      </c>
      <c r="H28" s="9">
        <v>10368.969999999999</v>
      </c>
      <c r="I28" s="10">
        <v>128.08000000000001</v>
      </c>
      <c r="J28" s="11">
        <f t="shared" si="3"/>
        <v>0.57333333333333336</v>
      </c>
      <c r="K28" s="10">
        <f t="shared" si="4"/>
        <v>120.56941860465116</v>
      </c>
      <c r="L28" s="10">
        <f t="shared" si="5"/>
        <v>69.126466666666659</v>
      </c>
      <c r="M28" s="5">
        <f t="shared" si="6"/>
        <v>-7.5105813953488507</v>
      </c>
      <c r="N28" s="1"/>
    </row>
    <row r="29" spans="1:14" x14ac:dyDescent="0.35">
      <c r="A29" s="6">
        <v>45685</v>
      </c>
      <c r="B29" s="7" t="s">
        <v>55</v>
      </c>
      <c r="C29" s="2" t="str">
        <f t="shared" si="0"/>
        <v>Jan</v>
      </c>
      <c r="D29" s="2" t="str">
        <f t="shared" si="1"/>
        <v>Off-Peak</v>
      </c>
      <c r="E29" s="2" t="str">
        <f t="shared" si="2"/>
        <v>Tue</v>
      </c>
      <c r="F29" s="8">
        <v>94</v>
      </c>
      <c r="G29" s="8">
        <v>150</v>
      </c>
      <c r="H29" s="9">
        <v>11474.71</v>
      </c>
      <c r="I29" s="10">
        <v>131.83000000000001</v>
      </c>
      <c r="J29" s="11">
        <f t="shared" si="3"/>
        <v>0.62666666666666671</v>
      </c>
      <c r="K29" s="10">
        <f t="shared" si="4"/>
        <v>122.07138297872339</v>
      </c>
      <c r="L29" s="10">
        <f t="shared" si="5"/>
        <v>76.498066666666659</v>
      </c>
      <c r="M29" s="5">
        <f t="shared" si="6"/>
        <v>-9.7586170212766206</v>
      </c>
      <c r="N29" s="1"/>
    </row>
    <row r="30" spans="1:14" x14ac:dyDescent="0.35">
      <c r="A30" s="6">
        <v>45686</v>
      </c>
      <c r="B30" s="7" t="s">
        <v>55</v>
      </c>
      <c r="C30" s="2" t="str">
        <f t="shared" si="0"/>
        <v>Jan</v>
      </c>
      <c r="D30" s="2" t="str">
        <f t="shared" si="1"/>
        <v>Off-Peak</v>
      </c>
      <c r="E30" s="2" t="str">
        <f t="shared" si="2"/>
        <v>Wed</v>
      </c>
      <c r="F30" s="8">
        <v>96</v>
      </c>
      <c r="G30" s="8">
        <v>150</v>
      </c>
      <c r="H30" s="9">
        <v>12124.17</v>
      </c>
      <c r="I30" s="10">
        <v>135.69</v>
      </c>
      <c r="J30" s="11">
        <f t="shared" si="3"/>
        <v>0.64</v>
      </c>
      <c r="K30" s="10">
        <f t="shared" si="4"/>
        <v>126.2934375</v>
      </c>
      <c r="L30" s="10">
        <f t="shared" si="5"/>
        <v>80.827799999999996</v>
      </c>
      <c r="M30" s="5">
        <f t="shared" si="6"/>
        <v>-9.3965625000000017</v>
      </c>
      <c r="N30" s="1"/>
    </row>
    <row r="31" spans="1:14" x14ac:dyDescent="0.35">
      <c r="A31" s="6">
        <v>45687</v>
      </c>
      <c r="B31" s="7" t="s">
        <v>55</v>
      </c>
      <c r="C31" s="2" t="str">
        <f t="shared" si="0"/>
        <v>Jan</v>
      </c>
      <c r="D31" s="2" t="str">
        <f t="shared" si="1"/>
        <v>Off-Peak</v>
      </c>
      <c r="E31" s="2" t="str">
        <f t="shared" si="2"/>
        <v>Thu</v>
      </c>
      <c r="F31" s="8">
        <v>99</v>
      </c>
      <c r="G31" s="8">
        <v>150</v>
      </c>
      <c r="H31" s="9">
        <v>13125.14</v>
      </c>
      <c r="I31" s="10">
        <v>136.22999999999999</v>
      </c>
      <c r="J31" s="11">
        <f t="shared" si="3"/>
        <v>0.66</v>
      </c>
      <c r="K31" s="10">
        <f t="shared" si="4"/>
        <v>132.57717171717172</v>
      </c>
      <c r="L31" s="10">
        <f t="shared" si="5"/>
        <v>87.500933333333336</v>
      </c>
      <c r="M31" s="5">
        <f t="shared" si="6"/>
        <v>-3.652828282828267</v>
      </c>
      <c r="N31" s="1"/>
    </row>
    <row r="32" spans="1:14" x14ac:dyDescent="0.35">
      <c r="A32" s="6">
        <v>45688</v>
      </c>
      <c r="B32" s="7" t="s">
        <v>55</v>
      </c>
      <c r="C32" s="2" t="str">
        <f t="shared" si="0"/>
        <v>Jan</v>
      </c>
      <c r="D32" s="2" t="str">
        <f t="shared" si="1"/>
        <v>Off-Peak</v>
      </c>
      <c r="E32" s="2" t="str">
        <f t="shared" si="2"/>
        <v>Fri</v>
      </c>
      <c r="F32" s="8">
        <v>105</v>
      </c>
      <c r="G32" s="8">
        <v>150</v>
      </c>
      <c r="H32" s="9">
        <v>15096.36</v>
      </c>
      <c r="I32" s="10">
        <v>140.26</v>
      </c>
      <c r="J32" s="11">
        <f t="shared" si="3"/>
        <v>0.7</v>
      </c>
      <c r="K32" s="10">
        <f t="shared" si="4"/>
        <v>143.77485714285714</v>
      </c>
      <c r="L32" s="10">
        <f t="shared" si="5"/>
        <v>100.64240000000001</v>
      </c>
      <c r="M32" s="5">
        <f t="shared" si="6"/>
        <v>3.5148571428571529</v>
      </c>
      <c r="N32" s="1"/>
    </row>
    <row r="33" spans="1:14" x14ac:dyDescent="0.35">
      <c r="A33" s="6">
        <v>45689</v>
      </c>
      <c r="B33" s="7" t="s">
        <v>55</v>
      </c>
      <c r="C33" s="2" t="str">
        <f t="shared" si="0"/>
        <v>Feb</v>
      </c>
      <c r="D33" s="2" t="str">
        <f t="shared" si="1"/>
        <v>Off-Peak</v>
      </c>
      <c r="E33" s="2" t="str">
        <f t="shared" si="2"/>
        <v>Sat</v>
      </c>
      <c r="F33" s="8">
        <v>125</v>
      </c>
      <c r="G33" s="8">
        <v>150</v>
      </c>
      <c r="H33" s="9">
        <v>20905.39</v>
      </c>
      <c r="I33" s="10">
        <v>160.44</v>
      </c>
      <c r="J33" s="11">
        <f t="shared" si="3"/>
        <v>0.83333333333333337</v>
      </c>
      <c r="K33" s="10">
        <f t="shared" si="4"/>
        <v>167.24312</v>
      </c>
      <c r="L33" s="10">
        <f t="shared" si="5"/>
        <v>139.36926666666668</v>
      </c>
      <c r="M33" s="5">
        <f t="shared" si="6"/>
        <v>6.8031200000000069</v>
      </c>
      <c r="N33" s="1" t="s">
        <v>14</v>
      </c>
    </row>
    <row r="34" spans="1:14" x14ac:dyDescent="0.35">
      <c r="A34" s="6">
        <v>45690</v>
      </c>
      <c r="B34" s="7" t="s">
        <v>55</v>
      </c>
      <c r="C34" s="2" t="str">
        <f t="shared" si="0"/>
        <v>Feb</v>
      </c>
      <c r="D34" s="2" t="str">
        <f t="shared" si="1"/>
        <v>Off-Peak</v>
      </c>
      <c r="E34" s="2" t="str">
        <f t="shared" si="2"/>
        <v>Sun</v>
      </c>
      <c r="F34" s="8">
        <v>89</v>
      </c>
      <c r="G34" s="8">
        <v>150</v>
      </c>
      <c r="H34" s="9">
        <v>10762.71</v>
      </c>
      <c r="I34" s="10">
        <v>133.33000000000001</v>
      </c>
      <c r="J34" s="11">
        <f t="shared" si="3"/>
        <v>0.59333333333333338</v>
      </c>
      <c r="K34" s="10">
        <f t="shared" si="4"/>
        <v>120.92932584269661</v>
      </c>
      <c r="L34" s="10">
        <f t="shared" si="5"/>
        <v>71.75139999999999</v>
      </c>
      <c r="M34" s="5">
        <f t="shared" si="6"/>
        <v>-12.400674157303399</v>
      </c>
      <c r="N34" s="1"/>
    </row>
    <row r="35" spans="1:14" x14ac:dyDescent="0.35">
      <c r="A35" s="6">
        <v>45691</v>
      </c>
      <c r="B35" s="7" t="s">
        <v>55</v>
      </c>
      <c r="C35" s="2" t="str">
        <f t="shared" si="0"/>
        <v>Feb</v>
      </c>
      <c r="D35" s="2" t="str">
        <f t="shared" si="1"/>
        <v>Off-Peak</v>
      </c>
      <c r="E35" s="2" t="str">
        <f t="shared" si="2"/>
        <v>Mon</v>
      </c>
      <c r="F35" s="8">
        <v>103</v>
      </c>
      <c r="G35" s="8">
        <v>150</v>
      </c>
      <c r="H35" s="9">
        <v>13137.26</v>
      </c>
      <c r="I35" s="10">
        <v>134.91</v>
      </c>
      <c r="J35" s="11">
        <f t="shared" si="3"/>
        <v>0.68666666666666665</v>
      </c>
      <c r="K35" s="10">
        <f t="shared" si="4"/>
        <v>127.54621359223302</v>
      </c>
      <c r="L35" s="10">
        <f t="shared" si="5"/>
        <v>87.581733333333332</v>
      </c>
      <c r="M35" s="5">
        <f t="shared" si="6"/>
        <v>-7.3637864077669803</v>
      </c>
      <c r="N35" s="1"/>
    </row>
    <row r="36" spans="1:14" x14ac:dyDescent="0.35">
      <c r="A36" s="6">
        <v>45692</v>
      </c>
      <c r="B36" s="7" t="s">
        <v>55</v>
      </c>
      <c r="C36" s="2" t="str">
        <f t="shared" si="0"/>
        <v>Feb</v>
      </c>
      <c r="D36" s="2" t="str">
        <f t="shared" si="1"/>
        <v>Off-Peak</v>
      </c>
      <c r="E36" s="2" t="str">
        <f t="shared" si="2"/>
        <v>Tue</v>
      </c>
      <c r="F36" s="8">
        <v>101</v>
      </c>
      <c r="G36" s="8">
        <v>150</v>
      </c>
      <c r="H36" s="9">
        <v>13045.17</v>
      </c>
      <c r="I36" s="10">
        <v>133.41</v>
      </c>
      <c r="J36" s="11">
        <f t="shared" si="3"/>
        <v>0.67333333333333334</v>
      </c>
      <c r="K36" s="10">
        <f t="shared" si="4"/>
        <v>129.16009900990099</v>
      </c>
      <c r="L36" s="10">
        <f t="shared" si="5"/>
        <v>86.967799999999997</v>
      </c>
      <c r="M36" s="5">
        <f t="shared" si="6"/>
        <v>-4.2499009900990075</v>
      </c>
      <c r="N36" s="1"/>
    </row>
    <row r="37" spans="1:14" x14ac:dyDescent="0.35">
      <c r="A37" s="6">
        <v>45693</v>
      </c>
      <c r="B37" s="7" t="s">
        <v>55</v>
      </c>
      <c r="C37" s="2" t="str">
        <f t="shared" si="0"/>
        <v>Feb</v>
      </c>
      <c r="D37" s="2" t="str">
        <f t="shared" si="1"/>
        <v>Off-Peak</v>
      </c>
      <c r="E37" s="2" t="str">
        <f t="shared" si="2"/>
        <v>Wed</v>
      </c>
      <c r="F37" s="8">
        <v>105</v>
      </c>
      <c r="G37" s="8">
        <v>150</v>
      </c>
      <c r="H37" s="9">
        <v>13341.52</v>
      </c>
      <c r="I37" s="10">
        <v>138.88999999999999</v>
      </c>
      <c r="J37" s="11">
        <f t="shared" si="3"/>
        <v>0.7</v>
      </c>
      <c r="K37" s="10">
        <f t="shared" si="4"/>
        <v>127.06209523809524</v>
      </c>
      <c r="L37" s="10">
        <f t="shared" si="5"/>
        <v>88.943466666666666</v>
      </c>
      <c r="M37" s="5">
        <f t="shared" si="6"/>
        <v>-11.827904761904747</v>
      </c>
      <c r="N37" s="1"/>
    </row>
    <row r="38" spans="1:14" x14ac:dyDescent="0.35">
      <c r="A38" s="6">
        <v>45694</v>
      </c>
      <c r="B38" s="7" t="s">
        <v>55</v>
      </c>
      <c r="C38" s="2" t="str">
        <f t="shared" si="0"/>
        <v>Feb</v>
      </c>
      <c r="D38" s="2" t="str">
        <f t="shared" si="1"/>
        <v>Off-Peak</v>
      </c>
      <c r="E38" s="2" t="str">
        <f t="shared" si="2"/>
        <v>Thu</v>
      </c>
      <c r="F38" s="8">
        <v>110</v>
      </c>
      <c r="G38" s="8">
        <v>150</v>
      </c>
      <c r="H38" s="9">
        <v>14316.87</v>
      </c>
      <c r="I38" s="10">
        <v>137.99</v>
      </c>
      <c r="J38" s="11">
        <f t="shared" si="3"/>
        <v>0.73333333333333328</v>
      </c>
      <c r="K38" s="10">
        <f t="shared" si="4"/>
        <v>130.15336363636365</v>
      </c>
      <c r="L38" s="10">
        <f t="shared" si="5"/>
        <v>95.445800000000006</v>
      </c>
      <c r="M38" s="5">
        <f t="shared" si="6"/>
        <v>-7.8366363636363587</v>
      </c>
      <c r="N38" s="1"/>
    </row>
    <row r="39" spans="1:14" x14ac:dyDescent="0.35">
      <c r="A39" s="6">
        <v>45695</v>
      </c>
      <c r="B39" s="7" t="s">
        <v>55</v>
      </c>
      <c r="C39" s="2" t="str">
        <f t="shared" si="0"/>
        <v>Feb</v>
      </c>
      <c r="D39" s="2" t="str">
        <f t="shared" si="1"/>
        <v>Off-Peak</v>
      </c>
      <c r="E39" s="2" t="str">
        <f t="shared" si="2"/>
        <v>Fri</v>
      </c>
      <c r="F39" s="8">
        <v>110</v>
      </c>
      <c r="G39" s="8">
        <v>150</v>
      </c>
      <c r="H39" s="9">
        <v>16013.15</v>
      </c>
      <c r="I39" s="10">
        <v>143.38</v>
      </c>
      <c r="J39" s="11">
        <f t="shared" si="3"/>
        <v>0.73333333333333328</v>
      </c>
      <c r="K39" s="10">
        <f t="shared" si="4"/>
        <v>145.5740909090909</v>
      </c>
      <c r="L39" s="10">
        <f t="shared" si="5"/>
        <v>106.75433333333334</v>
      </c>
      <c r="M39" s="5">
        <f t="shared" si="6"/>
        <v>2.1940909090909031</v>
      </c>
      <c r="N39" s="1"/>
    </row>
    <row r="40" spans="1:14" x14ac:dyDescent="0.35">
      <c r="A40" s="6">
        <v>45696</v>
      </c>
      <c r="B40" s="7" t="s">
        <v>55</v>
      </c>
      <c r="C40" s="2" t="str">
        <f t="shared" si="0"/>
        <v>Feb</v>
      </c>
      <c r="D40" s="2" t="str">
        <f t="shared" si="1"/>
        <v>Off-Peak</v>
      </c>
      <c r="E40" s="2" t="str">
        <f t="shared" si="2"/>
        <v>Sat</v>
      </c>
      <c r="F40" s="8">
        <v>111</v>
      </c>
      <c r="G40" s="8">
        <v>150</v>
      </c>
      <c r="H40" s="9">
        <v>15549.01</v>
      </c>
      <c r="I40" s="10">
        <v>145.16999999999999</v>
      </c>
      <c r="J40" s="11">
        <f t="shared" si="3"/>
        <v>0.74</v>
      </c>
      <c r="K40" s="10">
        <f t="shared" si="4"/>
        <v>140.08117117117118</v>
      </c>
      <c r="L40" s="10">
        <f t="shared" si="5"/>
        <v>103.66006666666667</v>
      </c>
      <c r="M40" s="5">
        <f t="shared" si="6"/>
        <v>-5.0888288288288095</v>
      </c>
      <c r="N40" s="1"/>
    </row>
    <row r="41" spans="1:14" x14ac:dyDescent="0.35">
      <c r="A41" s="6">
        <v>45697</v>
      </c>
      <c r="B41" s="7" t="s">
        <v>55</v>
      </c>
      <c r="C41" s="2" t="str">
        <f t="shared" si="0"/>
        <v>Feb</v>
      </c>
      <c r="D41" s="2" t="str">
        <f t="shared" si="1"/>
        <v>Off-Peak</v>
      </c>
      <c r="E41" s="2" t="str">
        <f t="shared" si="2"/>
        <v>Sun</v>
      </c>
      <c r="F41" s="8">
        <v>96</v>
      </c>
      <c r="G41" s="8">
        <v>150</v>
      </c>
      <c r="H41" s="9">
        <v>12030.09</v>
      </c>
      <c r="I41" s="10">
        <v>131.29</v>
      </c>
      <c r="J41" s="11">
        <f t="shared" si="3"/>
        <v>0.64</v>
      </c>
      <c r="K41" s="10">
        <f t="shared" si="4"/>
        <v>125.31343750000001</v>
      </c>
      <c r="L41" s="10">
        <f t="shared" si="5"/>
        <v>80.200599999999994</v>
      </c>
      <c r="M41" s="5">
        <f t="shared" si="6"/>
        <v>-5.9765624999999858</v>
      </c>
      <c r="N41" s="1"/>
    </row>
    <row r="42" spans="1:14" x14ac:dyDescent="0.35">
      <c r="A42" s="6">
        <v>45698</v>
      </c>
      <c r="B42" s="7" t="s">
        <v>55</v>
      </c>
      <c r="C42" s="2" t="str">
        <f t="shared" si="0"/>
        <v>Feb</v>
      </c>
      <c r="D42" s="2" t="str">
        <f t="shared" si="1"/>
        <v>Off-Peak</v>
      </c>
      <c r="E42" s="2" t="str">
        <f t="shared" si="2"/>
        <v>Mon</v>
      </c>
      <c r="F42" s="8">
        <v>99</v>
      </c>
      <c r="G42" s="8">
        <v>150</v>
      </c>
      <c r="H42" s="9">
        <v>12410.48</v>
      </c>
      <c r="I42" s="10">
        <v>128.91</v>
      </c>
      <c r="J42" s="11">
        <f t="shared" si="3"/>
        <v>0.66</v>
      </c>
      <c r="K42" s="10">
        <f t="shared" si="4"/>
        <v>125.35838383838383</v>
      </c>
      <c r="L42" s="10">
        <f t="shared" si="5"/>
        <v>82.736533333333327</v>
      </c>
      <c r="M42" s="5">
        <f t="shared" si="6"/>
        <v>-3.5516161616161668</v>
      </c>
      <c r="N42" s="1"/>
    </row>
    <row r="43" spans="1:14" x14ac:dyDescent="0.35">
      <c r="A43" s="6">
        <v>45699</v>
      </c>
      <c r="B43" s="7" t="s">
        <v>55</v>
      </c>
      <c r="C43" s="2" t="str">
        <f t="shared" si="0"/>
        <v>Feb</v>
      </c>
      <c r="D43" s="2" t="str">
        <f t="shared" si="1"/>
        <v>Off-Peak</v>
      </c>
      <c r="E43" s="2" t="str">
        <f t="shared" si="2"/>
        <v>Tue</v>
      </c>
      <c r="F43" s="8">
        <v>100</v>
      </c>
      <c r="G43" s="8">
        <v>150</v>
      </c>
      <c r="H43" s="9">
        <v>12771.37</v>
      </c>
      <c r="I43" s="10">
        <v>133.47</v>
      </c>
      <c r="J43" s="11">
        <f t="shared" si="3"/>
        <v>0.66666666666666663</v>
      </c>
      <c r="K43" s="10">
        <f t="shared" si="4"/>
        <v>127.7137</v>
      </c>
      <c r="L43" s="10">
        <f t="shared" si="5"/>
        <v>85.142466666666678</v>
      </c>
      <c r="M43" s="5">
        <f t="shared" si="6"/>
        <v>-5.756299999999996</v>
      </c>
      <c r="N43" s="1"/>
    </row>
    <row r="44" spans="1:14" x14ac:dyDescent="0.35">
      <c r="A44" s="6">
        <v>45700</v>
      </c>
      <c r="B44" s="7" t="s">
        <v>55</v>
      </c>
      <c r="C44" s="2" t="str">
        <f t="shared" si="0"/>
        <v>Feb</v>
      </c>
      <c r="D44" s="2" t="str">
        <f t="shared" si="1"/>
        <v>Off-Peak</v>
      </c>
      <c r="E44" s="2" t="str">
        <f t="shared" si="2"/>
        <v>Wed</v>
      </c>
      <c r="F44" s="8">
        <v>102</v>
      </c>
      <c r="G44" s="8">
        <v>150</v>
      </c>
      <c r="H44" s="9">
        <v>14217.62</v>
      </c>
      <c r="I44" s="10">
        <v>142.22</v>
      </c>
      <c r="J44" s="11">
        <f t="shared" si="3"/>
        <v>0.68</v>
      </c>
      <c r="K44" s="10">
        <f t="shared" si="4"/>
        <v>139.38843137254904</v>
      </c>
      <c r="L44" s="10">
        <f t="shared" si="5"/>
        <v>94.784133333333344</v>
      </c>
      <c r="M44" s="5">
        <f t="shared" si="6"/>
        <v>-2.831568627450963</v>
      </c>
      <c r="N44" s="1"/>
    </row>
    <row r="45" spans="1:14" x14ac:dyDescent="0.35">
      <c r="A45" s="6">
        <v>45701</v>
      </c>
      <c r="B45" s="7" t="s">
        <v>55</v>
      </c>
      <c r="C45" s="2" t="str">
        <f t="shared" si="0"/>
        <v>Feb</v>
      </c>
      <c r="D45" s="2" t="str">
        <f t="shared" si="1"/>
        <v>Off-Peak</v>
      </c>
      <c r="E45" s="2" t="str">
        <f t="shared" si="2"/>
        <v>Thu</v>
      </c>
      <c r="F45" s="8">
        <v>106</v>
      </c>
      <c r="G45" s="8">
        <v>150</v>
      </c>
      <c r="H45" s="9">
        <v>14620.51</v>
      </c>
      <c r="I45" s="10">
        <v>138.59</v>
      </c>
      <c r="J45" s="11">
        <f t="shared" si="3"/>
        <v>0.70666666666666667</v>
      </c>
      <c r="K45" s="10">
        <f t="shared" si="4"/>
        <v>137.92933962264152</v>
      </c>
      <c r="L45" s="10">
        <f t="shared" si="5"/>
        <v>97.470066666666668</v>
      </c>
      <c r="M45" s="5">
        <f t="shared" si="6"/>
        <v>-0.66066037735848226</v>
      </c>
      <c r="N45" s="1"/>
    </row>
    <row r="46" spans="1:14" x14ac:dyDescent="0.35">
      <c r="A46" s="6">
        <v>45702</v>
      </c>
      <c r="B46" s="7" t="s">
        <v>55</v>
      </c>
      <c r="C46" s="2" t="str">
        <f t="shared" si="0"/>
        <v>Feb</v>
      </c>
      <c r="D46" s="2" t="str">
        <f t="shared" si="1"/>
        <v>Off-Peak</v>
      </c>
      <c r="E46" s="2" t="str">
        <f t="shared" si="2"/>
        <v>Fri</v>
      </c>
      <c r="F46" s="8">
        <v>113</v>
      </c>
      <c r="G46" s="8">
        <v>150</v>
      </c>
      <c r="H46" s="9">
        <v>15776.57</v>
      </c>
      <c r="I46" s="10">
        <v>144.53</v>
      </c>
      <c r="J46" s="11">
        <f t="shared" si="3"/>
        <v>0.7533333333333333</v>
      </c>
      <c r="K46" s="10">
        <f t="shared" si="4"/>
        <v>139.61566371681417</v>
      </c>
      <c r="L46" s="10">
        <f t="shared" si="5"/>
        <v>105.17713333333333</v>
      </c>
      <c r="M46" s="5">
        <f t="shared" si="6"/>
        <v>-4.9143362831858326</v>
      </c>
      <c r="N46" s="1"/>
    </row>
    <row r="47" spans="1:14" x14ac:dyDescent="0.35">
      <c r="A47" s="6">
        <v>45703</v>
      </c>
      <c r="B47" s="7" t="s">
        <v>55</v>
      </c>
      <c r="C47" s="2" t="str">
        <f t="shared" si="0"/>
        <v>Feb</v>
      </c>
      <c r="D47" s="2" t="str">
        <f t="shared" si="1"/>
        <v>Off-Peak</v>
      </c>
      <c r="E47" s="2" t="str">
        <f t="shared" si="2"/>
        <v>Sat</v>
      </c>
      <c r="F47" s="8">
        <v>108</v>
      </c>
      <c r="G47" s="8">
        <v>150</v>
      </c>
      <c r="H47" s="9">
        <v>15913.07</v>
      </c>
      <c r="I47" s="10">
        <v>149.29</v>
      </c>
      <c r="J47" s="11">
        <f t="shared" si="3"/>
        <v>0.72</v>
      </c>
      <c r="K47" s="10">
        <f t="shared" si="4"/>
        <v>147.34324074074073</v>
      </c>
      <c r="L47" s="10">
        <f t="shared" si="5"/>
        <v>106.08713333333333</v>
      </c>
      <c r="M47" s="5">
        <f t="shared" si="6"/>
        <v>-1.9467592592592666</v>
      </c>
      <c r="N47" s="1"/>
    </row>
    <row r="48" spans="1:14" x14ac:dyDescent="0.35">
      <c r="A48" s="6">
        <v>45704</v>
      </c>
      <c r="B48" s="7" t="s">
        <v>55</v>
      </c>
      <c r="C48" s="2" t="str">
        <f t="shared" si="0"/>
        <v>Feb</v>
      </c>
      <c r="D48" s="2" t="str">
        <f t="shared" si="1"/>
        <v>Off-Peak</v>
      </c>
      <c r="E48" s="2" t="str">
        <f t="shared" si="2"/>
        <v>Sun</v>
      </c>
      <c r="F48" s="8">
        <v>95</v>
      </c>
      <c r="G48" s="8">
        <v>150</v>
      </c>
      <c r="H48" s="9">
        <v>12013.54</v>
      </c>
      <c r="I48" s="10">
        <v>128.51</v>
      </c>
      <c r="J48" s="11">
        <f t="shared" si="3"/>
        <v>0.6333333333333333</v>
      </c>
      <c r="K48" s="10">
        <f t="shared" si="4"/>
        <v>126.45831578947369</v>
      </c>
      <c r="L48" s="10">
        <f t="shared" si="5"/>
        <v>80.090266666666679</v>
      </c>
      <c r="M48" s="5">
        <f t="shared" si="6"/>
        <v>-2.0516842105263038</v>
      </c>
      <c r="N48" s="1"/>
    </row>
    <row r="49" spans="1:14" x14ac:dyDescent="0.35">
      <c r="A49" s="6">
        <v>45705</v>
      </c>
      <c r="B49" s="7" t="s">
        <v>55</v>
      </c>
      <c r="C49" s="2" t="str">
        <f t="shared" si="0"/>
        <v>Feb</v>
      </c>
      <c r="D49" s="2" t="str">
        <f t="shared" si="1"/>
        <v>Off-Peak</v>
      </c>
      <c r="E49" s="2" t="str">
        <f t="shared" si="2"/>
        <v>Mon</v>
      </c>
      <c r="F49" s="8">
        <v>101</v>
      </c>
      <c r="G49" s="8">
        <v>150</v>
      </c>
      <c r="H49" s="9">
        <v>13466.39</v>
      </c>
      <c r="I49" s="10">
        <v>133.01</v>
      </c>
      <c r="J49" s="11">
        <f t="shared" si="3"/>
        <v>0.67333333333333334</v>
      </c>
      <c r="K49" s="10">
        <f t="shared" si="4"/>
        <v>133.33059405940594</v>
      </c>
      <c r="L49" s="10">
        <f t="shared" si="5"/>
        <v>89.775933333333327</v>
      </c>
      <c r="M49" s="5">
        <f t="shared" si="6"/>
        <v>0.32059405940594843</v>
      </c>
      <c r="N49" s="1"/>
    </row>
    <row r="50" spans="1:14" x14ac:dyDescent="0.35">
      <c r="A50" s="6">
        <v>45706</v>
      </c>
      <c r="B50" s="7" t="s">
        <v>55</v>
      </c>
      <c r="C50" s="2" t="str">
        <f t="shared" si="0"/>
        <v>Feb</v>
      </c>
      <c r="D50" s="2" t="str">
        <f t="shared" si="1"/>
        <v>Off-Peak</v>
      </c>
      <c r="E50" s="2" t="str">
        <f t="shared" si="2"/>
        <v>Tue</v>
      </c>
      <c r="F50" s="8">
        <v>102</v>
      </c>
      <c r="G50" s="8">
        <v>150</v>
      </c>
      <c r="H50" s="9">
        <v>13242.22</v>
      </c>
      <c r="I50" s="10">
        <v>133.86000000000001</v>
      </c>
      <c r="J50" s="11">
        <f t="shared" si="3"/>
        <v>0.68</v>
      </c>
      <c r="K50" s="10">
        <f t="shared" si="4"/>
        <v>129.82568627450979</v>
      </c>
      <c r="L50" s="10">
        <f t="shared" si="5"/>
        <v>88.28146666666666</v>
      </c>
      <c r="M50" s="5">
        <f t="shared" si="6"/>
        <v>-4.0343137254902217</v>
      </c>
      <c r="N50" s="1"/>
    </row>
    <row r="51" spans="1:14" x14ac:dyDescent="0.35">
      <c r="A51" s="6">
        <v>45707</v>
      </c>
      <c r="B51" s="7" t="s">
        <v>55</v>
      </c>
      <c r="C51" s="2" t="str">
        <f t="shared" si="0"/>
        <v>Feb</v>
      </c>
      <c r="D51" s="2" t="str">
        <f t="shared" si="1"/>
        <v>Off-Peak</v>
      </c>
      <c r="E51" s="2" t="str">
        <f t="shared" si="2"/>
        <v>Wed</v>
      </c>
      <c r="F51" s="8">
        <v>100</v>
      </c>
      <c r="G51" s="8">
        <v>150</v>
      </c>
      <c r="H51" s="9">
        <v>13158.47</v>
      </c>
      <c r="I51" s="10">
        <v>138.57</v>
      </c>
      <c r="J51" s="11">
        <f t="shared" si="3"/>
        <v>0.66666666666666663</v>
      </c>
      <c r="K51" s="10">
        <f t="shared" si="4"/>
        <v>131.5847</v>
      </c>
      <c r="L51" s="10">
        <f t="shared" si="5"/>
        <v>87.723133333333323</v>
      </c>
      <c r="M51" s="5">
        <f t="shared" si="6"/>
        <v>-6.9852999999999952</v>
      </c>
      <c r="N51" s="1"/>
    </row>
    <row r="52" spans="1:14" x14ac:dyDescent="0.35">
      <c r="A52" s="6">
        <v>45708</v>
      </c>
      <c r="B52" s="7" t="s">
        <v>55</v>
      </c>
      <c r="C52" s="2" t="str">
        <f t="shared" si="0"/>
        <v>Feb</v>
      </c>
      <c r="D52" s="2" t="str">
        <f t="shared" si="1"/>
        <v>Off-Peak</v>
      </c>
      <c r="E52" s="2" t="str">
        <f t="shared" si="2"/>
        <v>Thu</v>
      </c>
      <c r="F52" s="8">
        <v>106</v>
      </c>
      <c r="G52" s="8">
        <v>150</v>
      </c>
      <c r="H52" s="9">
        <v>13879.39</v>
      </c>
      <c r="I52" s="10">
        <v>139.51</v>
      </c>
      <c r="J52" s="11">
        <f t="shared" si="3"/>
        <v>0.70666666666666667</v>
      </c>
      <c r="K52" s="10">
        <f t="shared" si="4"/>
        <v>130.93764150943394</v>
      </c>
      <c r="L52" s="10">
        <f t="shared" si="5"/>
        <v>92.529266666666658</v>
      </c>
      <c r="M52" s="5">
        <f t="shared" si="6"/>
        <v>-8.5723584905660459</v>
      </c>
      <c r="N52" s="1"/>
    </row>
    <row r="53" spans="1:14" x14ac:dyDescent="0.35">
      <c r="A53" s="6">
        <v>45709</v>
      </c>
      <c r="B53" s="7" t="s">
        <v>55</v>
      </c>
      <c r="C53" s="2" t="str">
        <f t="shared" si="0"/>
        <v>Feb</v>
      </c>
      <c r="D53" s="2" t="str">
        <f t="shared" si="1"/>
        <v>Off-Peak</v>
      </c>
      <c r="E53" s="2" t="str">
        <f t="shared" si="2"/>
        <v>Fri</v>
      </c>
      <c r="F53" s="8">
        <v>112</v>
      </c>
      <c r="G53" s="8">
        <v>150</v>
      </c>
      <c r="H53" s="9">
        <v>15455.28</v>
      </c>
      <c r="I53" s="10">
        <v>146.41</v>
      </c>
      <c r="J53" s="11">
        <f t="shared" si="3"/>
        <v>0.7466666666666667</v>
      </c>
      <c r="K53" s="10">
        <f t="shared" si="4"/>
        <v>137.99357142857144</v>
      </c>
      <c r="L53" s="10">
        <f t="shared" si="5"/>
        <v>103.0352</v>
      </c>
      <c r="M53" s="5">
        <f t="shared" si="6"/>
        <v>-8.4164285714285541</v>
      </c>
      <c r="N53" s="1"/>
    </row>
    <row r="54" spans="1:14" x14ac:dyDescent="0.35">
      <c r="A54" s="6">
        <v>45710</v>
      </c>
      <c r="B54" s="7" t="s">
        <v>55</v>
      </c>
      <c r="C54" s="2" t="str">
        <f t="shared" si="0"/>
        <v>Feb</v>
      </c>
      <c r="D54" s="2" t="str">
        <f t="shared" si="1"/>
        <v>Off-Peak</v>
      </c>
      <c r="E54" s="2" t="str">
        <f t="shared" si="2"/>
        <v>Sat</v>
      </c>
      <c r="F54" s="8">
        <v>112</v>
      </c>
      <c r="G54" s="8">
        <v>150</v>
      </c>
      <c r="H54" s="9">
        <v>15873.29</v>
      </c>
      <c r="I54" s="10">
        <v>146.69</v>
      </c>
      <c r="J54" s="11">
        <f t="shared" si="3"/>
        <v>0.7466666666666667</v>
      </c>
      <c r="K54" s="10">
        <f t="shared" si="4"/>
        <v>141.72580357142857</v>
      </c>
      <c r="L54" s="10">
        <f t="shared" si="5"/>
        <v>105.82193333333333</v>
      </c>
      <c r="M54" s="5">
        <f t="shared" si="6"/>
        <v>-4.9641964285714266</v>
      </c>
      <c r="N54" s="1"/>
    </row>
    <row r="55" spans="1:14" x14ac:dyDescent="0.35">
      <c r="A55" s="6">
        <v>45711</v>
      </c>
      <c r="B55" s="7" t="s">
        <v>55</v>
      </c>
      <c r="C55" s="2" t="str">
        <f t="shared" si="0"/>
        <v>Feb</v>
      </c>
      <c r="D55" s="2" t="str">
        <f t="shared" si="1"/>
        <v>Off-Peak</v>
      </c>
      <c r="E55" s="2" t="str">
        <f t="shared" si="2"/>
        <v>Sun</v>
      </c>
      <c r="F55" s="8">
        <v>96</v>
      </c>
      <c r="G55" s="8">
        <v>150</v>
      </c>
      <c r="H55" s="9">
        <v>12364.85</v>
      </c>
      <c r="I55" s="10">
        <v>129.30000000000001</v>
      </c>
      <c r="J55" s="11">
        <f t="shared" si="3"/>
        <v>0.64</v>
      </c>
      <c r="K55" s="10">
        <f t="shared" si="4"/>
        <v>128.80052083333334</v>
      </c>
      <c r="L55" s="10">
        <f t="shared" si="5"/>
        <v>82.432333333333332</v>
      </c>
      <c r="M55" s="5">
        <f t="shared" si="6"/>
        <v>-0.49947916666667425</v>
      </c>
      <c r="N55" s="1"/>
    </row>
    <row r="56" spans="1:14" x14ac:dyDescent="0.35">
      <c r="A56" s="6">
        <v>45712</v>
      </c>
      <c r="B56" s="7" t="s">
        <v>55</v>
      </c>
      <c r="C56" s="2" t="str">
        <f t="shared" si="0"/>
        <v>Feb</v>
      </c>
      <c r="D56" s="2" t="str">
        <f t="shared" si="1"/>
        <v>Off-Peak</v>
      </c>
      <c r="E56" s="2" t="str">
        <f t="shared" si="2"/>
        <v>Mon</v>
      </c>
      <c r="F56" s="8">
        <v>106</v>
      </c>
      <c r="G56" s="8">
        <v>150</v>
      </c>
      <c r="H56" s="9">
        <v>12667.06</v>
      </c>
      <c r="I56" s="10">
        <v>132.05000000000001</v>
      </c>
      <c r="J56" s="11">
        <f t="shared" si="3"/>
        <v>0.70666666666666667</v>
      </c>
      <c r="K56" s="10">
        <f t="shared" si="4"/>
        <v>119.50056603773585</v>
      </c>
      <c r="L56" s="10">
        <f t="shared" si="5"/>
        <v>84.447066666666657</v>
      </c>
      <c r="M56" s="5">
        <f t="shared" si="6"/>
        <v>-12.54943396226416</v>
      </c>
      <c r="N56" s="1"/>
    </row>
    <row r="57" spans="1:14" x14ac:dyDescent="0.35">
      <c r="A57" s="6">
        <v>45713</v>
      </c>
      <c r="B57" s="7" t="s">
        <v>55</v>
      </c>
      <c r="C57" s="2" t="str">
        <f t="shared" si="0"/>
        <v>Feb</v>
      </c>
      <c r="D57" s="2" t="str">
        <f t="shared" si="1"/>
        <v>Off-Peak</v>
      </c>
      <c r="E57" s="2" t="str">
        <f t="shared" si="2"/>
        <v>Tue</v>
      </c>
      <c r="F57" s="8">
        <v>101</v>
      </c>
      <c r="G57" s="8">
        <v>150</v>
      </c>
      <c r="H57" s="9">
        <v>12478.66</v>
      </c>
      <c r="I57" s="10">
        <v>134.18</v>
      </c>
      <c r="J57" s="11">
        <f t="shared" si="3"/>
        <v>0.67333333333333334</v>
      </c>
      <c r="K57" s="10">
        <f t="shared" si="4"/>
        <v>123.55108910891089</v>
      </c>
      <c r="L57" s="10">
        <f t="shared" si="5"/>
        <v>83.191066666666671</v>
      </c>
      <c r="M57" s="5">
        <f t="shared" si="6"/>
        <v>-10.62891089108912</v>
      </c>
      <c r="N57" s="1"/>
    </row>
    <row r="58" spans="1:14" x14ac:dyDescent="0.35">
      <c r="A58" s="6">
        <v>45714</v>
      </c>
      <c r="B58" s="7" t="s">
        <v>55</v>
      </c>
      <c r="C58" s="2" t="str">
        <f t="shared" si="0"/>
        <v>Feb</v>
      </c>
      <c r="D58" s="2" t="str">
        <f t="shared" si="1"/>
        <v>Off-Peak</v>
      </c>
      <c r="E58" s="2" t="str">
        <f t="shared" si="2"/>
        <v>Wed</v>
      </c>
      <c r="F58" s="8">
        <v>104</v>
      </c>
      <c r="G58" s="8">
        <v>150</v>
      </c>
      <c r="H58" s="9">
        <v>13413.66</v>
      </c>
      <c r="I58" s="10">
        <v>139.61000000000001</v>
      </c>
      <c r="J58" s="11">
        <f t="shared" si="3"/>
        <v>0.69333333333333336</v>
      </c>
      <c r="K58" s="10">
        <f t="shared" si="4"/>
        <v>128.97749999999999</v>
      </c>
      <c r="L58" s="10">
        <f t="shared" si="5"/>
        <v>89.424400000000006</v>
      </c>
      <c r="M58" s="5">
        <f t="shared" si="6"/>
        <v>-10.632500000000022</v>
      </c>
      <c r="N58" s="1"/>
    </row>
    <row r="59" spans="1:14" x14ac:dyDescent="0.35">
      <c r="A59" s="6">
        <v>45715</v>
      </c>
      <c r="B59" s="7" t="s">
        <v>55</v>
      </c>
      <c r="C59" s="2" t="str">
        <f t="shared" si="0"/>
        <v>Feb</v>
      </c>
      <c r="D59" s="2" t="str">
        <f t="shared" si="1"/>
        <v>Off-Peak</v>
      </c>
      <c r="E59" s="2" t="str">
        <f t="shared" si="2"/>
        <v>Thu</v>
      </c>
      <c r="F59" s="8">
        <v>114</v>
      </c>
      <c r="G59" s="8">
        <v>150</v>
      </c>
      <c r="H59" s="9">
        <v>14900.51</v>
      </c>
      <c r="I59" s="10">
        <v>136.41</v>
      </c>
      <c r="J59" s="11">
        <f t="shared" si="3"/>
        <v>0.76</v>
      </c>
      <c r="K59" s="10">
        <f t="shared" si="4"/>
        <v>130.70622807017543</v>
      </c>
      <c r="L59" s="10">
        <f t="shared" si="5"/>
        <v>99.336733333333328</v>
      </c>
      <c r="M59" s="5">
        <f t="shared" si="6"/>
        <v>-5.703771929824569</v>
      </c>
      <c r="N59" s="1"/>
    </row>
    <row r="60" spans="1:14" x14ac:dyDescent="0.35">
      <c r="A60" s="6">
        <v>45716</v>
      </c>
      <c r="B60" s="7" t="s">
        <v>55</v>
      </c>
      <c r="C60" s="2" t="str">
        <f t="shared" si="0"/>
        <v>Feb</v>
      </c>
      <c r="D60" s="2" t="str">
        <f t="shared" si="1"/>
        <v>Off-Peak</v>
      </c>
      <c r="E60" s="2" t="str">
        <f t="shared" si="2"/>
        <v>Fri</v>
      </c>
      <c r="F60" s="8">
        <v>113</v>
      </c>
      <c r="G60" s="8">
        <v>150</v>
      </c>
      <c r="H60" s="9">
        <v>15674.86</v>
      </c>
      <c r="I60" s="10">
        <v>144.30000000000001</v>
      </c>
      <c r="J60" s="11">
        <f t="shared" si="3"/>
        <v>0.7533333333333333</v>
      </c>
      <c r="K60" s="10">
        <f t="shared" si="4"/>
        <v>138.71557522123894</v>
      </c>
      <c r="L60" s="10">
        <f t="shared" si="5"/>
        <v>104.49906666666666</v>
      </c>
      <c r="M60" s="5">
        <f t="shared" si="6"/>
        <v>-5.5844247787610755</v>
      </c>
      <c r="N60" s="1"/>
    </row>
    <row r="61" spans="1:14" x14ac:dyDescent="0.35">
      <c r="A61" s="6">
        <v>45717</v>
      </c>
      <c r="B61" s="7" t="s">
        <v>55</v>
      </c>
      <c r="C61" s="2" t="str">
        <f t="shared" si="0"/>
        <v>Mar</v>
      </c>
      <c r="D61" s="2" t="str">
        <f t="shared" si="1"/>
        <v>Off-Peak</v>
      </c>
      <c r="E61" s="2" t="str">
        <f t="shared" si="2"/>
        <v>Sat</v>
      </c>
      <c r="F61" s="8">
        <v>122</v>
      </c>
      <c r="G61" s="8">
        <v>150</v>
      </c>
      <c r="H61" s="9">
        <v>20415.09</v>
      </c>
      <c r="I61" s="10">
        <v>162.29</v>
      </c>
      <c r="J61" s="11">
        <f t="shared" si="3"/>
        <v>0.81333333333333335</v>
      </c>
      <c r="K61" s="10">
        <f t="shared" si="4"/>
        <v>167.33680327868854</v>
      </c>
      <c r="L61" s="10">
        <f t="shared" si="5"/>
        <v>136.10060000000001</v>
      </c>
      <c r="M61" s="5">
        <f t="shared" si="6"/>
        <v>5.0468032786885431</v>
      </c>
      <c r="N61" s="1"/>
    </row>
    <row r="62" spans="1:14" x14ac:dyDescent="0.35">
      <c r="A62" s="6">
        <v>45718</v>
      </c>
      <c r="B62" s="7" t="s">
        <v>55</v>
      </c>
      <c r="C62" s="2" t="str">
        <f t="shared" si="0"/>
        <v>Mar</v>
      </c>
      <c r="D62" s="2" t="str">
        <f t="shared" si="1"/>
        <v>Off-Peak</v>
      </c>
      <c r="E62" s="2" t="str">
        <f t="shared" si="2"/>
        <v>Sun</v>
      </c>
      <c r="F62" s="8">
        <v>100</v>
      </c>
      <c r="G62" s="8">
        <v>150</v>
      </c>
      <c r="H62" s="9">
        <v>14508.24</v>
      </c>
      <c r="I62" s="10">
        <v>146.30000000000001</v>
      </c>
      <c r="J62" s="11">
        <f t="shared" si="3"/>
        <v>0.66666666666666663</v>
      </c>
      <c r="K62" s="10">
        <f t="shared" si="4"/>
        <v>145.08240000000001</v>
      </c>
      <c r="L62" s="10">
        <f t="shared" si="5"/>
        <v>96.721599999999995</v>
      </c>
      <c r="M62" s="5">
        <f t="shared" si="6"/>
        <v>-1.2176000000000045</v>
      </c>
      <c r="N62" s="1"/>
    </row>
    <row r="63" spans="1:14" x14ac:dyDescent="0.35">
      <c r="A63" s="6">
        <v>45719</v>
      </c>
      <c r="B63" s="7" t="s">
        <v>55</v>
      </c>
      <c r="C63" s="2" t="str">
        <f t="shared" si="0"/>
        <v>Mar</v>
      </c>
      <c r="D63" s="2" t="str">
        <f t="shared" si="1"/>
        <v>Off-Peak</v>
      </c>
      <c r="E63" s="2" t="str">
        <f t="shared" si="2"/>
        <v>Mon</v>
      </c>
      <c r="F63" s="8">
        <v>100</v>
      </c>
      <c r="G63" s="8">
        <v>150</v>
      </c>
      <c r="H63" s="9">
        <v>13450.49</v>
      </c>
      <c r="I63" s="10">
        <v>144.44999999999999</v>
      </c>
      <c r="J63" s="11">
        <f t="shared" si="3"/>
        <v>0.66666666666666663</v>
      </c>
      <c r="K63" s="10">
        <f t="shared" si="4"/>
        <v>134.50489999999999</v>
      </c>
      <c r="L63" s="10">
        <f t="shared" si="5"/>
        <v>89.669933333333333</v>
      </c>
      <c r="M63" s="5">
        <f t="shared" si="6"/>
        <v>-9.9450999999999965</v>
      </c>
      <c r="N63" s="1"/>
    </row>
    <row r="64" spans="1:14" x14ac:dyDescent="0.35">
      <c r="A64" s="6">
        <v>45720</v>
      </c>
      <c r="B64" s="7" t="s">
        <v>55</v>
      </c>
      <c r="C64" s="2" t="str">
        <f t="shared" si="0"/>
        <v>Mar</v>
      </c>
      <c r="D64" s="2" t="str">
        <f t="shared" si="1"/>
        <v>Off-Peak</v>
      </c>
      <c r="E64" s="2" t="str">
        <f t="shared" si="2"/>
        <v>Tue</v>
      </c>
      <c r="F64" s="8">
        <v>112</v>
      </c>
      <c r="G64" s="8">
        <v>150</v>
      </c>
      <c r="H64" s="9">
        <v>15852.87</v>
      </c>
      <c r="I64" s="10">
        <v>145.72999999999999</v>
      </c>
      <c r="J64" s="11">
        <f t="shared" si="3"/>
        <v>0.7466666666666667</v>
      </c>
      <c r="K64" s="10">
        <f t="shared" si="4"/>
        <v>141.54348214285716</v>
      </c>
      <c r="L64" s="10">
        <f t="shared" si="5"/>
        <v>105.6858</v>
      </c>
      <c r="M64" s="5">
        <f t="shared" si="6"/>
        <v>-4.1865178571428316</v>
      </c>
      <c r="N64" s="1"/>
    </row>
    <row r="65" spans="1:14" x14ac:dyDescent="0.35">
      <c r="A65" s="6">
        <v>45721</v>
      </c>
      <c r="B65" s="7" t="s">
        <v>55</v>
      </c>
      <c r="C65" s="2" t="str">
        <f t="shared" si="0"/>
        <v>Mar</v>
      </c>
      <c r="D65" s="2" t="str">
        <f t="shared" si="1"/>
        <v>Off-Peak</v>
      </c>
      <c r="E65" s="2" t="str">
        <f t="shared" si="2"/>
        <v>Wed</v>
      </c>
      <c r="F65" s="8">
        <v>117</v>
      </c>
      <c r="G65" s="8">
        <v>150</v>
      </c>
      <c r="H65" s="9">
        <v>17141.27</v>
      </c>
      <c r="I65" s="10">
        <v>148.66</v>
      </c>
      <c r="J65" s="11">
        <f t="shared" si="3"/>
        <v>0.78</v>
      </c>
      <c r="K65" s="10">
        <f t="shared" si="4"/>
        <v>146.50658119658121</v>
      </c>
      <c r="L65" s="10">
        <f t="shared" si="5"/>
        <v>114.27513333333333</v>
      </c>
      <c r="M65" s="5">
        <f t="shared" si="6"/>
        <v>-2.1534188034187878</v>
      </c>
      <c r="N65" s="1"/>
    </row>
    <row r="66" spans="1:14" x14ac:dyDescent="0.35">
      <c r="A66" s="6">
        <v>45722</v>
      </c>
      <c r="B66" s="7" t="s">
        <v>55</v>
      </c>
      <c r="C66" s="2" t="str">
        <f t="shared" ref="C66:C129" si="7">CHOOSE(MONTH(A66),"Jan","Feb","Mar","Apr","May","Jun","Jul","Aug","Sep","Oct","Nov","Dec")</f>
        <v>Mar</v>
      </c>
      <c r="D66" s="2" t="str">
        <f t="shared" ref="D66:D129" si="8">IF(AND(MONTH(A66)&gt;=5,MONTH(A66)&lt;=9),"Peak","Off-Peak")</f>
        <v>Off-Peak</v>
      </c>
      <c r="E66" s="2" t="str">
        <f t="shared" ref="E66:E129" si="9">CHOOSE(WEEKDAY(A66,2),"Mon","Tue","Wed","Thu","Fri","Sat","Sun")</f>
        <v>Thu</v>
      </c>
      <c r="F66" s="8">
        <v>120</v>
      </c>
      <c r="G66" s="8">
        <v>150</v>
      </c>
      <c r="H66" s="9">
        <v>17358.439999999999</v>
      </c>
      <c r="I66" s="10">
        <v>149.66999999999999</v>
      </c>
      <c r="J66" s="11">
        <f t="shared" ref="J66:J129" si="10">IF(G66=0,0,F66/G66)</f>
        <v>0.8</v>
      </c>
      <c r="K66" s="10">
        <f t="shared" ref="K66:K129" si="11">IF(F66=0,0,H66/F66)</f>
        <v>144.65366666666665</v>
      </c>
      <c r="L66" s="10">
        <f t="shared" ref="L66:L129" si="12">IF(G66=0,0,H66/G66)</f>
        <v>115.72293333333333</v>
      </c>
      <c r="M66" s="5">
        <f t="shared" ref="M66:M129" si="13">K66-I66</f>
        <v>-5.0163333333333355</v>
      </c>
      <c r="N66" s="1"/>
    </row>
    <row r="67" spans="1:14" x14ac:dyDescent="0.35">
      <c r="A67" s="6">
        <v>45723</v>
      </c>
      <c r="B67" s="7" t="s">
        <v>55</v>
      </c>
      <c r="C67" s="2" t="str">
        <f t="shared" si="7"/>
        <v>Mar</v>
      </c>
      <c r="D67" s="2" t="str">
        <f t="shared" si="8"/>
        <v>Off-Peak</v>
      </c>
      <c r="E67" s="2" t="str">
        <f t="shared" si="9"/>
        <v>Fri</v>
      </c>
      <c r="F67" s="8">
        <v>121</v>
      </c>
      <c r="G67" s="8">
        <v>150</v>
      </c>
      <c r="H67" s="9">
        <v>18701.91</v>
      </c>
      <c r="I67" s="10">
        <v>158.99</v>
      </c>
      <c r="J67" s="11">
        <f t="shared" si="10"/>
        <v>0.80666666666666664</v>
      </c>
      <c r="K67" s="10">
        <f t="shared" si="11"/>
        <v>154.5612396694215</v>
      </c>
      <c r="L67" s="10">
        <f t="shared" si="12"/>
        <v>124.6794</v>
      </c>
      <c r="M67" s="5">
        <f t="shared" si="13"/>
        <v>-4.4287603305785126</v>
      </c>
      <c r="N67" s="1"/>
    </row>
    <row r="68" spans="1:14" x14ac:dyDescent="0.35">
      <c r="A68" s="6">
        <v>45724</v>
      </c>
      <c r="B68" s="7" t="s">
        <v>55</v>
      </c>
      <c r="C68" s="2" t="str">
        <f t="shared" si="7"/>
        <v>Mar</v>
      </c>
      <c r="D68" s="2" t="str">
        <f t="shared" si="8"/>
        <v>Off-Peak</v>
      </c>
      <c r="E68" s="2" t="str">
        <f t="shared" si="9"/>
        <v>Sat</v>
      </c>
      <c r="F68" s="8">
        <v>121</v>
      </c>
      <c r="G68" s="8">
        <v>150</v>
      </c>
      <c r="H68" s="9">
        <v>19274.72</v>
      </c>
      <c r="I68" s="10">
        <v>158.35</v>
      </c>
      <c r="J68" s="11">
        <f t="shared" si="10"/>
        <v>0.80666666666666664</v>
      </c>
      <c r="K68" s="10">
        <f t="shared" si="11"/>
        <v>159.29520661157025</v>
      </c>
      <c r="L68" s="10">
        <f t="shared" si="12"/>
        <v>128.49813333333333</v>
      </c>
      <c r="M68" s="5">
        <f t="shared" si="13"/>
        <v>0.94520661157025643</v>
      </c>
      <c r="N68" s="1"/>
    </row>
    <row r="69" spans="1:14" x14ac:dyDescent="0.35">
      <c r="A69" s="6">
        <v>45725</v>
      </c>
      <c r="B69" s="7" t="s">
        <v>55</v>
      </c>
      <c r="C69" s="2" t="str">
        <f t="shared" si="7"/>
        <v>Mar</v>
      </c>
      <c r="D69" s="2" t="str">
        <f t="shared" si="8"/>
        <v>Off-Peak</v>
      </c>
      <c r="E69" s="2" t="str">
        <f t="shared" si="9"/>
        <v>Sun</v>
      </c>
      <c r="F69" s="8">
        <v>100</v>
      </c>
      <c r="G69" s="8">
        <v>150</v>
      </c>
      <c r="H69" s="9">
        <v>13700.42</v>
      </c>
      <c r="I69" s="10">
        <v>141.55000000000001</v>
      </c>
      <c r="J69" s="11">
        <f t="shared" si="10"/>
        <v>0.66666666666666663</v>
      </c>
      <c r="K69" s="10">
        <f t="shared" si="11"/>
        <v>137.0042</v>
      </c>
      <c r="L69" s="10">
        <f t="shared" si="12"/>
        <v>91.336133333333336</v>
      </c>
      <c r="M69" s="5">
        <f t="shared" si="13"/>
        <v>-4.5458000000000141</v>
      </c>
      <c r="N69" s="1"/>
    </row>
    <row r="70" spans="1:14" x14ac:dyDescent="0.35">
      <c r="A70" s="6">
        <v>45726</v>
      </c>
      <c r="B70" s="7" t="s">
        <v>55</v>
      </c>
      <c r="C70" s="2" t="str">
        <f t="shared" si="7"/>
        <v>Mar</v>
      </c>
      <c r="D70" s="2" t="str">
        <f t="shared" si="8"/>
        <v>Off-Peak</v>
      </c>
      <c r="E70" s="2" t="str">
        <f t="shared" si="9"/>
        <v>Mon</v>
      </c>
      <c r="F70" s="8">
        <v>100</v>
      </c>
      <c r="G70" s="8">
        <v>150</v>
      </c>
      <c r="H70" s="9">
        <v>12966.28</v>
      </c>
      <c r="I70" s="10">
        <v>142.21</v>
      </c>
      <c r="J70" s="11">
        <f t="shared" si="10"/>
        <v>0.66666666666666663</v>
      </c>
      <c r="K70" s="10">
        <f t="shared" si="11"/>
        <v>129.6628</v>
      </c>
      <c r="L70" s="10">
        <f t="shared" si="12"/>
        <v>86.44186666666667</v>
      </c>
      <c r="M70" s="5">
        <f t="shared" si="13"/>
        <v>-12.547200000000004</v>
      </c>
      <c r="N70" s="1"/>
    </row>
    <row r="71" spans="1:14" x14ac:dyDescent="0.35">
      <c r="A71" s="6">
        <v>45727</v>
      </c>
      <c r="B71" s="7" t="s">
        <v>55</v>
      </c>
      <c r="C71" s="2" t="str">
        <f t="shared" si="7"/>
        <v>Mar</v>
      </c>
      <c r="D71" s="2" t="str">
        <f t="shared" si="8"/>
        <v>Off-Peak</v>
      </c>
      <c r="E71" s="2" t="str">
        <f t="shared" si="9"/>
        <v>Tue</v>
      </c>
      <c r="F71" s="8">
        <v>115</v>
      </c>
      <c r="G71" s="8">
        <v>150</v>
      </c>
      <c r="H71" s="9">
        <v>17453.07</v>
      </c>
      <c r="I71" s="10">
        <v>147.82</v>
      </c>
      <c r="J71" s="11">
        <f t="shared" si="10"/>
        <v>0.76666666666666672</v>
      </c>
      <c r="K71" s="10">
        <f t="shared" si="11"/>
        <v>151.76582608695651</v>
      </c>
      <c r="L71" s="10">
        <f t="shared" si="12"/>
        <v>116.35379999999999</v>
      </c>
      <c r="M71" s="5">
        <f t="shared" si="13"/>
        <v>3.9458260869565152</v>
      </c>
      <c r="N71" s="1"/>
    </row>
    <row r="72" spans="1:14" x14ac:dyDescent="0.35">
      <c r="A72" s="6">
        <v>45728</v>
      </c>
      <c r="B72" s="7" t="s">
        <v>55</v>
      </c>
      <c r="C72" s="2" t="str">
        <f t="shared" si="7"/>
        <v>Mar</v>
      </c>
      <c r="D72" s="2" t="str">
        <f t="shared" si="8"/>
        <v>Off-Peak</v>
      </c>
      <c r="E72" s="2" t="str">
        <f t="shared" si="9"/>
        <v>Wed</v>
      </c>
      <c r="F72" s="8">
        <v>106</v>
      </c>
      <c r="G72" s="8">
        <v>150</v>
      </c>
      <c r="H72" s="9">
        <v>16557.580000000002</v>
      </c>
      <c r="I72" s="10">
        <v>148.16</v>
      </c>
      <c r="J72" s="11">
        <f t="shared" si="10"/>
        <v>0.70666666666666667</v>
      </c>
      <c r="K72" s="10">
        <f t="shared" si="11"/>
        <v>156.20358490566039</v>
      </c>
      <c r="L72" s="10">
        <f t="shared" si="12"/>
        <v>110.38386666666668</v>
      </c>
      <c r="M72" s="5">
        <f t="shared" si="13"/>
        <v>8.0435849056603956</v>
      </c>
      <c r="N72" s="1"/>
    </row>
    <row r="73" spans="1:14" x14ac:dyDescent="0.35">
      <c r="A73" s="6">
        <v>45729</v>
      </c>
      <c r="B73" s="7" t="s">
        <v>55</v>
      </c>
      <c r="C73" s="2" t="str">
        <f t="shared" si="7"/>
        <v>Mar</v>
      </c>
      <c r="D73" s="2" t="str">
        <f t="shared" si="8"/>
        <v>Off-Peak</v>
      </c>
      <c r="E73" s="2" t="str">
        <f t="shared" si="9"/>
        <v>Thu</v>
      </c>
      <c r="F73" s="8">
        <v>120</v>
      </c>
      <c r="G73" s="8">
        <v>150</v>
      </c>
      <c r="H73" s="9">
        <v>18115.73</v>
      </c>
      <c r="I73" s="10">
        <v>152.47</v>
      </c>
      <c r="J73" s="11">
        <f t="shared" si="10"/>
        <v>0.8</v>
      </c>
      <c r="K73" s="10">
        <f t="shared" si="11"/>
        <v>150.96441666666666</v>
      </c>
      <c r="L73" s="10">
        <f t="shared" si="12"/>
        <v>120.77153333333332</v>
      </c>
      <c r="M73" s="5">
        <f t="shared" si="13"/>
        <v>-1.5055833333333339</v>
      </c>
      <c r="N73" s="1"/>
    </row>
    <row r="74" spans="1:14" x14ac:dyDescent="0.35">
      <c r="A74" s="6">
        <v>45730</v>
      </c>
      <c r="B74" s="7" t="s">
        <v>55</v>
      </c>
      <c r="C74" s="2" t="str">
        <f t="shared" si="7"/>
        <v>Mar</v>
      </c>
      <c r="D74" s="2" t="str">
        <f t="shared" si="8"/>
        <v>Off-Peak</v>
      </c>
      <c r="E74" s="2" t="str">
        <f t="shared" si="9"/>
        <v>Fri</v>
      </c>
      <c r="F74" s="8">
        <v>139</v>
      </c>
      <c r="G74" s="8">
        <v>150</v>
      </c>
      <c r="H74" s="9">
        <v>27020.26</v>
      </c>
      <c r="I74" s="10">
        <v>189.72</v>
      </c>
      <c r="J74" s="11">
        <f t="shared" si="10"/>
        <v>0.92666666666666664</v>
      </c>
      <c r="K74" s="10">
        <f t="shared" si="11"/>
        <v>194.39035971223021</v>
      </c>
      <c r="L74" s="10">
        <f t="shared" si="12"/>
        <v>180.13506666666666</v>
      </c>
      <c r="M74" s="5">
        <f t="shared" si="13"/>
        <v>4.6703597122302085</v>
      </c>
      <c r="N74" s="1" t="s">
        <v>15</v>
      </c>
    </row>
    <row r="75" spans="1:14" x14ac:dyDescent="0.35">
      <c r="A75" s="6">
        <v>45731</v>
      </c>
      <c r="B75" s="7" t="s">
        <v>55</v>
      </c>
      <c r="C75" s="2" t="str">
        <f t="shared" si="7"/>
        <v>Mar</v>
      </c>
      <c r="D75" s="2" t="str">
        <f t="shared" si="8"/>
        <v>Off-Peak</v>
      </c>
      <c r="E75" s="2" t="str">
        <f t="shared" si="9"/>
        <v>Sat</v>
      </c>
      <c r="F75" s="8">
        <v>143</v>
      </c>
      <c r="G75" s="8">
        <v>150</v>
      </c>
      <c r="H75" s="9">
        <v>26338.95</v>
      </c>
      <c r="I75" s="10">
        <v>189.97</v>
      </c>
      <c r="J75" s="11">
        <f t="shared" si="10"/>
        <v>0.95333333333333337</v>
      </c>
      <c r="K75" s="10">
        <f t="shared" si="11"/>
        <v>184.18846153846155</v>
      </c>
      <c r="L75" s="10">
        <f t="shared" si="12"/>
        <v>175.59300000000002</v>
      </c>
      <c r="M75" s="5">
        <f t="shared" si="13"/>
        <v>-5.781538461538446</v>
      </c>
      <c r="N75" s="1" t="s">
        <v>15</v>
      </c>
    </row>
    <row r="76" spans="1:14" x14ac:dyDescent="0.35">
      <c r="A76" s="6">
        <v>45732</v>
      </c>
      <c r="B76" s="7" t="s">
        <v>55</v>
      </c>
      <c r="C76" s="2" t="str">
        <f t="shared" si="7"/>
        <v>Mar</v>
      </c>
      <c r="D76" s="2" t="str">
        <f t="shared" si="8"/>
        <v>Off-Peak</v>
      </c>
      <c r="E76" s="2" t="str">
        <f t="shared" si="9"/>
        <v>Sun</v>
      </c>
      <c r="F76" s="8">
        <v>125</v>
      </c>
      <c r="G76" s="8">
        <v>150</v>
      </c>
      <c r="H76" s="9">
        <v>23171.58</v>
      </c>
      <c r="I76" s="10">
        <v>173.74</v>
      </c>
      <c r="J76" s="11">
        <f t="shared" si="10"/>
        <v>0.83333333333333337</v>
      </c>
      <c r="K76" s="10">
        <f t="shared" si="11"/>
        <v>185.37264000000002</v>
      </c>
      <c r="L76" s="10">
        <f t="shared" si="12"/>
        <v>154.47720000000001</v>
      </c>
      <c r="M76" s="5">
        <f t="shared" si="13"/>
        <v>11.632640000000009</v>
      </c>
      <c r="N76" s="1" t="s">
        <v>15</v>
      </c>
    </row>
    <row r="77" spans="1:14" x14ac:dyDescent="0.35">
      <c r="A77" s="6">
        <v>45733</v>
      </c>
      <c r="B77" s="7" t="s">
        <v>55</v>
      </c>
      <c r="C77" s="2" t="str">
        <f t="shared" si="7"/>
        <v>Mar</v>
      </c>
      <c r="D77" s="2" t="str">
        <f t="shared" si="8"/>
        <v>Off-Peak</v>
      </c>
      <c r="E77" s="2" t="str">
        <f t="shared" si="9"/>
        <v>Mon</v>
      </c>
      <c r="F77" s="8">
        <v>126</v>
      </c>
      <c r="G77" s="8">
        <v>150</v>
      </c>
      <c r="H77" s="9">
        <v>22981.7</v>
      </c>
      <c r="I77" s="10">
        <v>171.51</v>
      </c>
      <c r="J77" s="11">
        <f t="shared" si="10"/>
        <v>0.84</v>
      </c>
      <c r="K77" s="10">
        <f t="shared" si="11"/>
        <v>182.39444444444445</v>
      </c>
      <c r="L77" s="10">
        <f t="shared" si="12"/>
        <v>153.21133333333333</v>
      </c>
      <c r="M77" s="5">
        <f t="shared" si="13"/>
        <v>10.884444444444455</v>
      </c>
      <c r="N77" s="1" t="s">
        <v>15</v>
      </c>
    </row>
    <row r="78" spans="1:14" x14ac:dyDescent="0.35">
      <c r="A78" s="6">
        <v>45734</v>
      </c>
      <c r="B78" s="7" t="s">
        <v>55</v>
      </c>
      <c r="C78" s="2" t="str">
        <f t="shared" si="7"/>
        <v>Mar</v>
      </c>
      <c r="D78" s="2" t="str">
        <f t="shared" si="8"/>
        <v>Off-Peak</v>
      </c>
      <c r="E78" s="2" t="str">
        <f t="shared" si="9"/>
        <v>Tue</v>
      </c>
      <c r="F78" s="8">
        <v>107</v>
      </c>
      <c r="G78" s="8">
        <v>150</v>
      </c>
      <c r="H78" s="9">
        <v>14572.01</v>
      </c>
      <c r="I78" s="10">
        <v>146.97999999999999</v>
      </c>
      <c r="J78" s="11">
        <f t="shared" si="10"/>
        <v>0.71333333333333337</v>
      </c>
      <c r="K78" s="10">
        <f t="shared" si="11"/>
        <v>136.18700934579439</v>
      </c>
      <c r="L78" s="10">
        <f t="shared" si="12"/>
        <v>97.14673333333333</v>
      </c>
      <c r="M78" s="5">
        <f t="shared" si="13"/>
        <v>-10.792990654205596</v>
      </c>
      <c r="N78" s="1"/>
    </row>
    <row r="79" spans="1:14" x14ac:dyDescent="0.35">
      <c r="A79" s="6">
        <v>45735</v>
      </c>
      <c r="B79" s="7" t="s">
        <v>55</v>
      </c>
      <c r="C79" s="2" t="str">
        <f t="shared" si="7"/>
        <v>Mar</v>
      </c>
      <c r="D79" s="2" t="str">
        <f t="shared" si="8"/>
        <v>Off-Peak</v>
      </c>
      <c r="E79" s="2" t="str">
        <f t="shared" si="9"/>
        <v>Wed</v>
      </c>
      <c r="F79" s="8">
        <v>118</v>
      </c>
      <c r="G79" s="8">
        <v>150</v>
      </c>
      <c r="H79" s="9">
        <v>17008.689999999999</v>
      </c>
      <c r="I79" s="10">
        <v>148.96</v>
      </c>
      <c r="J79" s="11">
        <f t="shared" si="10"/>
        <v>0.78666666666666663</v>
      </c>
      <c r="K79" s="10">
        <f t="shared" si="11"/>
        <v>144.1414406779661</v>
      </c>
      <c r="L79" s="10">
        <f t="shared" si="12"/>
        <v>113.39126666666665</v>
      </c>
      <c r="M79" s="5">
        <f t="shared" si="13"/>
        <v>-4.8185593220339058</v>
      </c>
      <c r="N79" s="1"/>
    </row>
    <row r="80" spans="1:14" x14ac:dyDescent="0.35">
      <c r="A80" s="6">
        <v>45736</v>
      </c>
      <c r="B80" s="7" t="s">
        <v>55</v>
      </c>
      <c r="C80" s="2" t="str">
        <f t="shared" si="7"/>
        <v>Mar</v>
      </c>
      <c r="D80" s="2" t="str">
        <f t="shared" si="8"/>
        <v>Off-Peak</v>
      </c>
      <c r="E80" s="2" t="str">
        <f t="shared" si="9"/>
        <v>Thu</v>
      </c>
      <c r="F80" s="8">
        <v>114</v>
      </c>
      <c r="G80" s="8">
        <v>150</v>
      </c>
      <c r="H80" s="9">
        <v>16381.49</v>
      </c>
      <c r="I80" s="10">
        <v>152.26</v>
      </c>
      <c r="J80" s="11">
        <f t="shared" si="10"/>
        <v>0.76</v>
      </c>
      <c r="K80" s="10">
        <f t="shared" si="11"/>
        <v>143.69728070175438</v>
      </c>
      <c r="L80" s="10">
        <f t="shared" si="12"/>
        <v>109.20993333333332</v>
      </c>
      <c r="M80" s="5">
        <f t="shared" si="13"/>
        <v>-8.5627192982456108</v>
      </c>
      <c r="N80" s="1"/>
    </row>
    <row r="81" spans="1:14" x14ac:dyDescent="0.35">
      <c r="A81" s="6">
        <v>45737</v>
      </c>
      <c r="B81" s="7" t="s">
        <v>55</v>
      </c>
      <c r="C81" s="2" t="str">
        <f t="shared" si="7"/>
        <v>Mar</v>
      </c>
      <c r="D81" s="2" t="str">
        <f t="shared" si="8"/>
        <v>Off-Peak</v>
      </c>
      <c r="E81" s="2" t="str">
        <f t="shared" si="9"/>
        <v>Fri</v>
      </c>
      <c r="F81" s="8">
        <v>124</v>
      </c>
      <c r="G81" s="8">
        <v>150</v>
      </c>
      <c r="H81" s="9">
        <v>19629.7</v>
      </c>
      <c r="I81" s="10">
        <v>155.57</v>
      </c>
      <c r="J81" s="11">
        <f t="shared" si="10"/>
        <v>0.82666666666666666</v>
      </c>
      <c r="K81" s="10">
        <f t="shared" si="11"/>
        <v>158.30403225806452</v>
      </c>
      <c r="L81" s="10">
        <f t="shared" si="12"/>
        <v>130.86466666666666</v>
      </c>
      <c r="M81" s="5">
        <f t="shared" si="13"/>
        <v>2.7340322580645307</v>
      </c>
      <c r="N81" s="1"/>
    </row>
    <row r="82" spans="1:14" x14ac:dyDescent="0.35">
      <c r="A82" s="6">
        <v>45738</v>
      </c>
      <c r="B82" s="7" t="s">
        <v>55</v>
      </c>
      <c r="C82" s="2" t="str">
        <f t="shared" si="7"/>
        <v>Mar</v>
      </c>
      <c r="D82" s="2" t="str">
        <f t="shared" si="8"/>
        <v>Off-Peak</v>
      </c>
      <c r="E82" s="2" t="str">
        <f t="shared" si="9"/>
        <v>Sat</v>
      </c>
      <c r="F82" s="8">
        <v>133</v>
      </c>
      <c r="G82" s="8">
        <v>150</v>
      </c>
      <c r="H82" s="9">
        <v>24151.08</v>
      </c>
      <c r="I82" s="10">
        <v>177.48</v>
      </c>
      <c r="J82" s="11">
        <f t="shared" si="10"/>
        <v>0.88666666666666671</v>
      </c>
      <c r="K82" s="10">
        <f t="shared" si="11"/>
        <v>181.58706766917294</v>
      </c>
      <c r="L82" s="10">
        <f t="shared" si="12"/>
        <v>161.00720000000001</v>
      </c>
      <c r="M82" s="5">
        <f t="shared" si="13"/>
        <v>4.1070676691729489</v>
      </c>
      <c r="N82" s="1" t="s">
        <v>14</v>
      </c>
    </row>
    <row r="83" spans="1:14" x14ac:dyDescent="0.35">
      <c r="A83" s="6">
        <v>45739</v>
      </c>
      <c r="B83" s="7" t="s">
        <v>55</v>
      </c>
      <c r="C83" s="2" t="str">
        <f t="shared" si="7"/>
        <v>Mar</v>
      </c>
      <c r="D83" s="2" t="str">
        <f t="shared" si="8"/>
        <v>Off-Peak</v>
      </c>
      <c r="E83" s="2" t="str">
        <f t="shared" si="9"/>
        <v>Sun</v>
      </c>
      <c r="F83" s="8">
        <v>103</v>
      </c>
      <c r="G83" s="8">
        <v>150</v>
      </c>
      <c r="H83" s="9">
        <v>14580.26</v>
      </c>
      <c r="I83" s="10">
        <v>142.37</v>
      </c>
      <c r="J83" s="11">
        <f t="shared" si="10"/>
        <v>0.68666666666666665</v>
      </c>
      <c r="K83" s="10">
        <f t="shared" si="11"/>
        <v>141.55592233009708</v>
      </c>
      <c r="L83" s="10">
        <f t="shared" si="12"/>
        <v>97.201733333333337</v>
      </c>
      <c r="M83" s="5">
        <f t="shared" si="13"/>
        <v>-0.81407766990292885</v>
      </c>
      <c r="N83" s="1"/>
    </row>
    <row r="84" spans="1:14" x14ac:dyDescent="0.35">
      <c r="A84" s="6">
        <v>45740</v>
      </c>
      <c r="B84" s="7" t="s">
        <v>55</v>
      </c>
      <c r="C84" s="2" t="str">
        <f t="shared" si="7"/>
        <v>Mar</v>
      </c>
      <c r="D84" s="2" t="str">
        <f t="shared" si="8"/>
        <v>Off-Peak</v>
      </c>
      <c r="E84" s="2" t="str">
        <f t="shared" si="9"/>
        <v>Mon</v>
      </c>
      <c r="F84" s="8">
        <v>107</v>
      </c>
      <c r="G84" s="8">
        <v>150</v>
      </c>
      <c r="H84" s="9">
        <v>15189.74</v>
      </c>
      <c r="I84" s="10">
        <v>143.37</v>
      </c>
      <c r="J84" s="11">
        <f t="shared" si="10"/>
        <v>0.71333333333333337</v>
      </c>
      <c r="K84" s="10">
        <f t="shared" si="11"/>
        <v>141.96018691588785</v>
      </c>
      <c r="L84" s="10">
        <f t="shared" si="12"/>
        <v>101.26493333333333</v>
      </c>
      <c r="M84" s="5">
        <f t="shared" si="13"/>
        <v>-1.4098130841121588</v>
      </c>
      <c r="N84" s="1"/>
    </row>
    <row r="85" spans="1:14" x14ac:dyDescent="0.35">
      <c r="A85" s="6">
        <v>45741</v>
      </c>
      <c r="B85" s="7" t="s">
        <v>55</v>
      </c>
      <c r="C85" s="2" t="str">
        <f t="shared" si="7"/>
        <v>Mar</v>
      </c>
      <c r="D85" s="2" t="str">
        <f t="shared" si="8"/>
        <v>Off-Peak</v>
      </c>
      <c r="E85" s="2" t="str">
        <f t="shared" si="9"/>
        <v>Tue</v>
      </c>
      <c r="F85" s="8">
        <v>109</v>
      </c>
      <c r="G85" s="8">
        <v>150</v>
      </c>
      <c r="H85" s="9">
        <v>16689.71</v>
      </c>
      <c r="I85" s="10">
        <v>145.94999999999999</v>
      </c>
      <c r="J85" s="11">
        <f t="shared" si="10"/>
        <v>0.72666666666666668</v>
      </c>
      <c r="K85" s="10">
        <f t="shared" si="11"/>
        <v>153.11660550458714</v>
      </c>
      <c r="L85" s="10">
        <f t="shared" si="12"/>
        <v>111.26473333333333</v>
      </c>
      <c r="M85" s="5">
        <f t="shared" si="13"/>
        <v>7.1666055045871531</v>
      </c>
      <c r="N85" s="1"/>
    </row>
    <row r="86" spans="1:14" x14ac:dyDescent="0.35">
      <c r="A86" s="6">
        <v>45742</v>
      </c>
      <c r="B86" s="7" t="s">
        <v>55</v>
      </c>
      <c r="C86" s="2" t="str">
        <f t="shared" si="7"/>
        <v>Mar</v>
      </c>
      <c r="D86" s="2" t="str">
        <f t="shared" si="8"/>
        <v>Off-Peak</v>
      </c>
      <c r="E86" s="2" t="str">
        <f t="shared" si="9"/>
        <v>Wed</v>
      </c>
      <c r="F86" s="8">
        <v>113</v>
      </c>
      <c r="G86" s="8">
        <v>150</v>
      </c>
      <c r="H86" s="9">
        <v>16295.63</v>
      </c>
      <c r="I86" s="10">
        <v>151.34</v>
      </c>
      <c r="J86" s="11">
        <f t="shared" si="10"/>
        <v>0.7533333333333333</v>
      </c>
      <c r="K86" s="10">
        <f t="shared" si="11"/>
        <v>144.20911504424777</v>
      </c>
      <c r="L86" s="10">
        <f t="shared" si="12"/>
        <v>108.63753333333332</v>
      </c>
      <c r="M86" s="5">
        <f t="shared" si="13"/>
        <v>-7.1308849557522365</v>
      </c>
      <c r="N86" s="1"/>
    </row>
    <row r="87" spans="1:14" x14ac:dyDescent="0.35">
      <c r="A87" s="6">
        <v>45743</v>
      </c>
      <c r="B87" s="7" t="s">
        <v>55</v>
      </c>
      <c r="C87" s="2" t="str">
        <f t="shared" si="7"/>
        <v>Mar</v>
      </c>
      <c r="D87" s="2" t="str">
        <f t="shared" si="8"/>
        <v>Off-Peak</v>
      </c>
      <c r="E87" s="2" t="str">
        <f t="shared" si="9"/>
        <v>Thu</v>
      </c>
      <c r="F87" s="8">
        <v>122</v>
      </c>
      <c r="G87" s="8">
        <v>150</v>
      </c>
      <c r="H87" s="9">
        <v>17264.759999999998</v>
      </c>
      <c r="I87" s="10">
        <v>147.91</v>
      </c>
      <c r="J87" s="11">
        <f t="shared" si="10"/>
        <v>0.81333333333333335</v>
      </c>
      <c r="K87" s="10">
        <f t="shared" si="11"/>
        <v>141.51442622950819</v>
      </c>
      <c r="L87" s="10">
        <f t="shared" si="12"/>
        <v>115.09839999999998</v>
      </c>
      <c r="M87" s="5">
        <f t="shared" si="13"/>
        <v>-6.3955737704918079</v>
      </c>
      <c r="N87" s="1"/>
    </row>
    <row r="88" spans="1:14" x14ac:dyDescent="0.35">
      <c r="A88" s="6">
        <v>45744</v>
      </c>
      <c r="B88" s="7" t="s">
        <v>55</v>
      </c>
      <c r="C88" s="2" t="str">
        <f t="shared" si="7"/>
        <v>Mar</v>
      </c>
      <c r="D88" s="2" t="str">
        <f t="shared" si="8"/>
        <v>Off-Peak</v>
      </c>
      <c r="E88" s="2" t="str">
        <f t="shared" si="9"/>
        <v>Fri</v>
      </c>
      <c r="F88" s="8">
        <v>121</v>
      </c>
      <c r="G88" s="8">
        <v>150</v>
      </c>
      <c r="H88" s="9">
        <v>19053.509999999998</v>
      </c>
      <c r="I88" s="10">
        <v>157.56</v>
      </c>
      <c r="J88" s="11">
        <f t="shared" si="10"/>
        <v>0.80666666666666664</v>
      </c>
      <c r="K88" s="10">
        <f t="shared" si="11"/>
        <v>157.46702479338842</v>
      </c>
      <c r="L88" s="10">
        <f t="shared" si="12"/>
        <v>127.0234</v>
      </c>
      <c r="M88" s="5">
        <f t="shared" si="13"/>
        <v>-9.2975206611583872E-2</v>
      </c>
      <c r="N88" s="1"/>
    </row>
    <row r="89" spans="1:14" x14ac:dyDescent="0.35">
      <c r="A89" s="6">
        <v>45745</v>
      </c>
      <c r="B89" s="7" t="s">
        <v>55</v>
      </c>
      <c r="C89" s="2" t="str">
        <f t="shared" si="7"/>
        <v>Mar</v>
      </c>
      <c r="D89" s="2" t="str">
        <f t="shared" si="8"/>
        <v>Off-Peak</v>
      </c>
      <c r="E89" s="2" t="str">
        <f t="shared" si="9"/>
        <v>Sat</v>
      </c>
      <c r="F89" s="8">
        <v>111</v>
      </c>
      <c r="G89" s="8">
        <v>150</v>
      </c>
      <c r="H89" s="9">
        <v>17851.05</v>
      </c>
      <c r="I89" s="10">
        <v>160.80000000000001</v>
      </c>
      <c r="J89" s="11">
        <f t="shared" si="10"/>
        <v>0.74</v>
      </c>
      <c r="K89" s="10">
        <f t="shared" si="11"/>
        <v>160.82027027027027</v>
      </c>
      <c r="L89" s="10">
        <f t="shared" si="12"/>
        <v>119.00699999999999</v>
      </c>
      <c r="M89" s="5">
        <f t="shared" si="13"/>
        <v>2.0270270270259516E-2</v>
      </c>
      <c r="N89" s="1"/>
    </row>
    <row r="90" spans="1:14" x14ac:dyDescent="0.35">
      <c r="A90" s="6">
        <v>45746</v>
      </c>
      <c r="B90" s="7" t="s">
        <v>55</v>
      </c>
      <c r="C90" s="2" t="str">
        <f t="shared" si="7"/>
        <v>Mar</v>
      </c>
      <c r="D90" s="2" t="str">
        <f t="shared" si="8"/>
        <v>Off-Peak</v>
      </c>
      <c r="E90" s="2" t="str">
        <f t="shared" si="9"/>
        <v>Sun</v>
      </c>
      <c r="F90" s="8">
        <v>102</v>
      </c>
      <c r="G90" s="8">
        <v>150</v>
      </c>
      <c r="H90" s="9">
        <v>13769.38</v>
      </c>
      <c r="I90" s="10">
        <v>140.85</v>
      </c>
      <c r="J90" s="11">
        <f t="shared" si="10"/>
        <v>0.68</v>
      </c>
      <c r="K90" s="10">
        <f t="shared" si="11"/>
        <v>134.99392156862746</v>
      </c>
      <c r="L90" s="10">
        <f t="shared" si="12"/>
        <v>91.795866666666655</v>
      </c>
      <c r="M90" s="5">
        <f t="shared" si="13"/>
        <v>-5.8560784313725378</v>
      </c>
      <c r="N90" s="1"/>
    </row>
    <row r="91" spans="1:14" x14ac:dyDescent="0.35">
      <c r="A91" s="6">
        <v>45747</v>
      </c>
      <c r="B91" s="7" t="s">
        <v>55</v>
      </c>
      <c r="C91" s="2" t="str">
        <f t="shared" si="7"/>
        <v>Mar</v>
      </c>
      <c r="D91" s="2" t="str">
        <f t="shared" si="8"/>
        <v>Off-Peak</v>
      </c>
      <c r="E91" s="2" t="str">
        <f t="shared" si="9"/>
        <v>Mon</v>
      </c>
      <c r="F91" s="8">
        <v>107</v>
      </c>
      <c r="G91" s="8">
        <v>150</v>
      </c>
      <c r="H91" s="9">
        <v>14790.86</v>
      </c>
      <c r="I91" s="10">
        <v>140.80000000000001</v>
      </c>
      <c r="J91" s="11">
        <f t="shared" si="10"/>
        <v>0.71333333333333337</v>
      </c>
      <c r="K91" s="10">
        <f t="shared" si="11"/>
        <v>138.23233644859815</v>
      </c>
      <c r="L91" s="10">
        <f t="shared" si="12"/>
        <v>98.605733333333333</v>
      </c>
      <c r="M91" s="5">
        <f t="shared" si="13"/>
        <v>-2.5676635514018642</v>
      </c>
      <c r="N91" s="1"/>
    </row>
    <row r="92" spans="1:14" x14ac:dyDescent="0.35">
      <c r="A92" s="6">
        <v>45748</v>
      </c>
      <c r="B92" s="7" t="s">
        <v>55</v>
      </c>
      <c r="C92" s="2" t="str">
        <f t="shared" si="7"/>
        <v>Apr</v>
      </c>
      <c r="D92" s="2" t="str">
        <f t="shared" si="8"/>
        <v>Off-Peak</v>
      </c>
      <c r="E92" s="2" t="str">
        <f t="shared" si="9"/>
        <v>Tue</v>
      </c>
      <c r="F92" s="8">
        <v>119</v>
      </c>
      <c r="G92" s="8">
        <v>150</v>
      </c>
      <c r="H92" s="9">
        <v>19227.25</v>
      </c>
      <c r="I92" s="10">
        <v>157.31</v>
      </c>
      <c r="J92" s="11">
        <f t="shared" si="10"/>
        <v>0.79333333333333333</v>
      </c>
      <c r="K92" s="10">
        <f t="shared" si="11"/>
        <v>161.5735294117647</v>
      </c>
      <c r="L92" s="10">
        <f t="shared" si="12"/>
        <v>128.18166666666667</v>
      </c>
      <c r="M92" s="5">
        <f t="shared" si="13"/>
        <v>4.2635294117646936</v>
      </c>
      <c r="N92" s="1"/>
    </row>
    <row r="93" spans="1:14" x14ac:dyDescent="0.35">
      <c r="A93" s="6">
        <v>45749</v>
      </c>
      <c r="B93" s="7" t="s">
        <v>55</v>
      </c>
      <c r="C93" s="2" t="str">
        <f t="shared" si="7"/>
        <v>Apr</v>
      </c>
      <c r="D93" s="2" t="str">
        <f t="shared" si="8"/>
        <v>Off-Peak</v>
      </c>
      <c r="E93" s="2" t="str">
        <f t="shared" si="9"/>
        <v>Wed</v>
      </c>
      <c r="F93" s="8">
        <v>122</v>
      </c>
      <c r="G93" s="8">
        <v>150</v>
      </c>
      <c r="H93" s="9">
        <v>18623.669999999998</v>
      </c>
      <c r="I93" s="10">
        <v>158.77000000000001</v>
      </c>
      <c r="J93" s="11">
        <f t="shared" si="10"/>
        <v>0.81333333333333335</v>
      </c>
      <c r="K93" s="10">
        <f t="shared" si="11"/>
        <v>152.65303278688523</v>
      </c>
      <c r="L93" s="10">
        <f t="shared" si="12"/>
        <v>124.15779999999999</v>
      </c>
      <c r="M93" s="5">
        <f t="shared" si="13"/>
        <v>-6.1169672131147763</v>
      </c>
      <c r="N93" s="1"/>
    </row>
    <row r="94" spans="1:14" x14ac:dyDescent="0.35">
      <c r="A94" s="6">
        <v>45750</v>
      </c>
      <c r="B94" s="7" t="s">
        <v>55</v>
      </c>
      <c r="C94" s="2" t="str">
        <f t="shared" si="7"/>
        <v>Apr</v>
      </c>
      <c r="D94" s="2" t="str">
        <f t="shared" si="8"/>
        <v>Off-Peak</v>
      </c>
      <c r="E94" s="2" t="str">
        <f t="shared" si="9"/>
        <v>Thu</v>
      </c>
      <c r="F94" s="8">
        <v>128</v>
      </c>
      <c r="G94" s="8">
        <v>150</v>
      </c>
      <c r="H94" s="9">
        <v>20344.11</v>
      </c>
      <c r="I94" s="10">
        <v>156.22999999999999</v>
      </c>
      <c r="J94" s="11">
        <f t="shared" si="10"/>
        <v>0.85333333333333339</v>
      </c>
      <c r="K94" s="10">
        <f t="shared" si="11"/>
        <v>158.938359375</v>
      </c>
      <c r="L94" s="10">
        <f t="shared" si="12"/>
        <v>135.62739999999999</v>
      </c>
      <c r="M94" s="5">
        <f t="shared" si="13"/>
        <v>2.7083593750000148</v>
      </c>
      <c r="N94" s="1"/>
    </row>
    <row r="95" spans="1:14" x14ac:dyDescent="0.35">
      <c r="A95" s="6">
        <v>45751</v>
      </c>
      <c r="B95" s="7" t="s">
        <v>55</v>
      </c>
      <c r="C95" s="2" t="str">
        <f t="shared" si="7"/>
        <v>Apr</v>
      </c>
      <c r="D95" s="2" t="str">
        <f t="shared" si="8"/>
        <v>Off-Peak</v>
      </c>
      <c r="E95" s="2" t="str">
        <f t="shared" si="9"/>
        <v>Fri</v>
      </c>
      <c r="F95" s="8">
        <v>122</v>
      </c>
      <c r="G95" s="8">
        <v>150</v>
      </c>
      <c r="H95" s="9">
        <v>19625.12</v>
      </c>
      <c r="I95" s="10">
        <v>169.52</v>
      </c>
      <c r="J95" s="11">
        <f t="shared" si="10"/>
        <v>0.81333333333333335</v>
      </c>
      <c r="K95" s="10">
        <f t="shared" si="11"/>
        <v>160.8616393442623</v>
      </c>
      <c r="L95" s="10">
        <f t="shared" si="12"/>
        <v>130.83413333333331</v>
      </c>
      <c r="M95" s="5">
        <f t="shared" si="13"/>
        <v>-8.6583606557377095</v>
      </c>
      <c r="N95" s="1"/>
    </row>
    <row r="96" spans="1:14" x14ac:dyDescent="0.35">
      <c r="A96" s="6">
        <v>45752</v>
      </c>
      <c r="B96" s="7" t="s">
        <v>55</v>
      </c>
      <c r="C96" s="2" t="str">
        <f t="shared" si="7"/>
        <v>Apr</v>
      </c>
      <c r="D96" s="2" t="str">
        <f t="shared" si="8"/>
        <v>Off-Peak</v>
      </c>
      <c r="E96" s="2" t="str">
        <f t="shared" si="9"/>
        <v>Sat</v>
      </c>
      <c r="F96" s="8">
        <v>123</v>
      </c>
      <c r="G96" s="8">
        <v>150</v>
      </c>
      <c r="H96" s="9">
        <v>19690.73</v>
      </c>
      <c r="I96" s="10">
        <v>166.64</v>
      </c>
      <c r="J96" s="11">
        <f t="shared" si="10"/>
        <v>0.82</v>
      </c>
      <c r="K96" s="10">
        <f t="shared" si="11"/>
        <v>160.08723577235773</v>
      </c>
      <c r="L96" s="10">
        <f t="shared" si="12"/>
        <v>131.27153333333334</v>
      </c>
      <c r="M96" s="5">
        <f t="shared" si="13"/>
        <v>-6.5527642276422569</v>
      </c>
      <c r="N96" s="1"/>
    </row>
    <row r="97" spans="1:14" x14ac:dyDescent="0.35">
      <c r="A97" s="6">
        <v>45753</v>
      </c>
      <c r="B97" s="7" t="s">
        <v>55</v>
      </c>
      <c r="C97" s="2" t="str">
        <f t="shared" si="7"/>
        <v>Apr</v>
      </c>
      <c r="D97" s="2" t="str">
        <f t="shared" si="8"/>
        <v>Off-Peak</v>
      </c>
      <c r="E97" s="2" t="str">
        <f t="shared" si="9"/>
        <v>Sun</v>
      </c>
      <c r="F97" s="8">
        <v>101</v>
      </c>
      <c r="G97" s="8">
        <v>150</v>
      </c>
      <c r="H97" s="9">
        <v>15258.91</v>
      </c>
      <c r="I97" s="10">
        <v>152.29</v>
      </c>
      <c r="J97" s="11">
        <f t="shared" si="10"/>
        <v>0.67333333333333334</v>
      </c>
      <c r="K97" s="10">
        <f t="shared" si="11"/>
        <v>151.07831683168317</v>
      </c>
      <c r="L97" s="10">
        <f t="shared" si="12"/>
        <v>101.72606666666667</v>
      </c>
      <c r="M97" s="5">
        <f t="shared" si="13"/>
        <v>-1.2116831683168243</v>
      </c>
      <c r="N97" s="1"/>
    </row>
    <row r="98" spans="1:14" x14ac:dyDescent="0.35">
      <c r="A98" s="6">
        <v>45754</v>
      </c>
      <c r="B98" s="7" t="s">
        <v>55</v>
      </c>
      <c r="C98" s="2" t="str">
        <f t="shared" si="7"/>
        <v>Apr</v>
      </c>
      <c r="D98" s="2" t="str">
        <f t="shared" si="8"/>
        <v>Off-Peak</v>
      </c>
      <c r="E98" s="2" t="str">
        <f t="shared" si="9"/>
        <v>Mon</v>
      </c>
      <c r="F98" s="8">
        <v>113</v>
      </c>
      <c r="G98" s="8">
        <v>150</v>
      </c>
      <c r="H98" s="9">
        <v>16657.16</v>
      </c>
      <c r="I98" s="10">
        <v>152.47999999999999</v>
      </c>
      <c r="J98" s="11">
        <f t="shared" si="10"/>
        <v>0.7533333333333333</v>
      </c>
      <c r="K98" s="10">
        <f t="shared" si="11"/>
        <v>147.40849557522122</v>
      </c>
      <c r="L98" s="10">
        <f t="shared" si="12"/>
        <v>111.04773333333333</v>
      </c>
      <c r="M98" s="5">
        <f t="shared" si="13"/>
        <v>-5.071504424778766</v>
      </c>
      <c r="N98" s="1"/>
    </row>
    <row r="99" spans="1:14" x14ac:dyDescent="0.35">
      <c r="A99" s="6">
        <v>45755</v>
      </c>
      <c r="B99" s="7" t="s">
        <v>55</v>
      </c>
      <c r="C99" s="2" t="str">
        <f t="shared" si="7"/>
        <v>Apr</v>
      </c>
      <c r="D99" s="2" t="str">
        <f t="shared" si="8"/>
        <v>Off-Peak</v>
      </c>
      <c r="E99" s="2" t="str">
        <f t="shared" si="9"/>
        <v>Tue</v>
      </c>
      <c r="F99" s="8">
        <v>113</v>
      </c>
      <c r="G99" s="8">
        <v>150</v>
      </c>
      <c r="H99" s="9">
        <v>16757.23</v>
      </c>
      <c r="I99" s="10">
        <v>156.63</v>
      </c>
      <c r="J99" s="11">
        <f t="shared" si="10"/>
        <v>0.7533333333333333</v>
      </c>
      <c r="K99" s="10">
        <f t="shared" si="11"/>
        <v>148.29407079646018</v>
      </c>
      <c r="L99" s="10">
        <f t="shared" si="12"/>
        <v>111.71486666666667</v>
      </c>
      <c r="M99" s="5">
        <f t="shared" si="13"/>
        <v>-8.3359292035398198</v>
      </c>
      <c r="N99" s="1"/>
    </row>
    <row r="100" spans="1:14" x14ac:dyDescent="0.35">
      <c r="A100" s="6">
        <v>45756</v>
      </c>
      <c r="B100" s="7" t="s">
        <v>55</v>
      </c>
      <c r="C100" s="2" t="str">
        <f t="shared" si="7"/>
        <v>Apr</v>
      </c>
      <c r="D100" s="2" t="str">
        <f t="shared" si="8"/>
        <v>Off-Peak</v>
      </c>
      <c r="E100" s="2" t="str">
        <f t="shared" si="9"/>
        <v>Wed</v>
      </c>
      <c r="F100" s="8">
        <v>119</v>
      </c>
      <c r="G100" s="8">
        <v>150</v>
      </c>
      <c r="H100" s="9">
        <v>18452.27</v>
      </c>
      <c r="I100" s="10">
        <v>159.66</v>
      </c>
      <c r="J100" s="11">
        <f t="shared" si="10"/>
        <v>0.79333333333333333</v>
      </c>
      <c r="K100" s="10">
        <f t="shared" si="11"/>
        <v>155.0610924369748</v>
      </c>
      <c r="L100" s="10">
        <f t="shared" si="12"/>
        <v>123.01513333333334</v>
      </c>
      <c r="M100" s="5">
        <f t="shared" si="13"/>
        <v>-4.5989075630251932</v>
      </c>
      <c r="N100" s="1"/>
    </row>
    <row r="101" spans="1:14" x14ac:dyDescent="0.35">
      <c r="A101" s="6">
        <v>45757</v>
      </c>
      <c r="B101" s="7" t="s">
        <v>55</v>
      </c>
      <c r="C101" s="2" t="str">
        <f t="shared" si="7"/>
        <v>Apr</v>
      </c>
      <c r="D101" s="2" t="str">
        <f t="shared" si="8"/>
        <v>Off-Peak</v>
      </c>
      <c r="E101" s="2" t="str">
        <f t="shared" si="9"/>
        <v>Thu</v>
      </c>
      <c r="F101" s="8">
        <v>120</v>
      </c>
      <c r="G101" s="8">
        <v>150</v>
      </c>
      <c r="H101" s="9">
        <v>19358.79</v>
      </c>
      <c r="I101" s="10">
        <v>162.66999999999999</v>
      </c>
      <c r="J101" s="11">
        <f t="shared" si="10"/>
        <v>0.8</v>
      </c>
      <c r="K101" s="10">
        <f t="shared" si="11"/>
        <v>161.32325</v>
      </c>
      <c r="L101" s="10">
        <f t="shared" si="12"/>
        <v>129.05860000000001</v>
      </c>
      <c r="M101" s="5">
        <f t="shared" si="13"/>
        <v>-1.3467499999999859</v>
      </c>
      <c r="N101" s="1"/>
    </row>
    <row r="102" spans="1:14" x14ac:dyDescent="0.35">
      <c r="A102" s="6">
        <v>45758</v>
      </c>
      <c r="B102" s="7" t="s">
        <v>55</v>
      </c>
      <c r="C102" s="2" t="str">
        <f t="shared" si="7"/>
        <v>Apr</v>
      </c>
      <c r="D102" s="2" t="str">
        <f t="shared" si="8"/>
        <v>Off-Peak</v>
      </c>
      <c r="E102" s="2" t="str">
        <f t="shared" si="9"/>
        <v>Fri</v>
      </c>
      <c r="F102" s="8">
        <v>129</v>
      </c>
      <c r="G102" s="8">
        <v>150</v>
      </c>
      <c r="H102" s="9">
        <v>22614</v>
      </c>
      <c r="I102" s="10">
        <v>170.87</v>
      </c>
      <c r="J102" s="11">
        <f t="shared" si="10"/>
        <v>0.86</v>
      </c>
      <c r="K102" s="10">
        <f t="shared" si="11"/>
        <v>175.30232558139534</v>
      </c>
      <c r="L102" s="10">
        <f t="shared" si="12"/>
        <v>150.76</v>
      </c>
      <c r="M102" s="5">
        <f t="shared" si="13"/>
        <v>4.4323255813953324</v>
      </c>
      <c r="N102" s="1"/>
    </row>
    <row r="103" spans="1:14" x14ac:dyDescent="0.35">
      <c r="A103" s="6">
        <v>45759</v>
      </c>
      <c r="B103" s="7" t="s">
        <v>55</v>
      </c>
      <c r="C103" s="2" t="str">
        <f t="shared" si="7"/>
        <v>Apr</v>
      </c>
      <c r="D103" s="2" t="str">
        <f t="shared" si="8"/>
        <v>Off-Peak</v>
      </c>
      <c r="E103" s="2" t="str">
        <f t="shared" si="9"/>
        <v>Sat</v>
      </c>
      <c r="F103" s="8">
        <v>131</v>
      </c>
      <c r="G103" s="8">
        <v>150</v>
      </c>
      <c r="H103" s="9">
        <v>21861.759999999998</v>
      </c>
      <c r="I103" s="10">
        <v>173.55</v>
      </c>
      <c r="J103" s="11">
        <f t="shared" si="10"/>
        <v>0.87333333333333329</v>
      </c>
      <c r="K103" s="10">
        <f t="shared" si="11"/>
        <v>166.88366412213739</v>
      </c>
      <c r="L103" s="10">
        <f t="shared" si="12"/>
        <v>145.74506666666665</v>
      </c>
      <c r="M103" s="5">
        <f t="shared" si="13"/>
        <v>-6.6663358778626218</v>
      </c>
      <c r="N103" s="1"/>
    </row>
    <row r="104" spans="1:14" x14ac:dyDescent="0.35">
      <c r="A104" s="6">
        <v>45760</v>
      </c>
      <c r="B104" s="7" t="s">
        <v>55</v>
      </c>
      <c r="C104" s="2" t="str">
        <f t="shared" si="7"/>
        <v>Apr</v>
      </c>
      <c r="D104" s="2" t="str">
        <f t="shared" si="8"/>
        <v>Off-Peak</v>
      </c>
      <c r="E104" s="2" t="str">
        <f t="shared" si="9"/>
        <v>Sun</v>
      </c>
      <c r="F104" s="8">
        <v>106</v>
      </c>
      <c r="G104" s="8">
        <v>150</v>
      </c>
      <c r="H104" s="9">
        <v>15322.14</v>
      </c>
      <c r="I104" s="10">
        <v>153.62</v>
      </c>
      <c r="J104" s="11">
        <f t="shared" si="10"/>
        <v>0.70666666666666667</v>
      </c>
      <c r="K104" s="10">
        <f t="shared" si="11"/>
        <v>144.54849056603774</v>
      </c>
      <c r="L104" s="10">
        <f t="shared" si="12"/>
        <v>102.1476</v>
      </c>
      <c r="M104" s="5">
        <f t="shared" si="13"/>
        <v>-9.0715094339622624</v>
      </c>
      <c r="N104" s="1"/>
    </row>
    <row r="105" spans="1:14" x14ac:dyDescent="0.35">
      <c r="A105" s="6">
        <v>45761</v>
      </c>
      <c r="B105" s="7" t="s">
        <v>55</v>
      </c>
      <c r="C105" s="2" t="str">
        <f t="shared" si="7"/>
        <v>Apr</v>
      </c>
      <c r="D105" s="2" t="str">
        <f t="shared" si="8"/>
        <v>Off-Peak</v>
      </c>
      <c r="E105" s="2" t="str">
        <f t="shared" si="9"/>
        <v>Mon</v>
      </c>
      <c r="F105" s="8">
        <v>106</v>
      </c>
      <c r="G105" s="8">
        <v>150</v>
      </c>
      <c r="H105" s="9">
        <v>15396.03</v>
      </c>
      <c r="I105" s="10">
        <v>148.56</v>
      </c>
      <c r="J105" s="11">
        <f t="shared" si="10"/>
        <v>0.70666666666666667</v>
      </c>
      <c r="K105" s="10">
        <f t="shared" si="11"/>
        <v>145.24556603773584</v>
      </c>
      <c r="L105" s="10">
        <f t="shared" si="12"/>
        <v>102.64020000000001</v>
      </c>
      <c r="M105" s="5">
        <f t="shared" si="13"/>
        <v>-3.314433962264161</v>
      </c>
      <c r="N105" s="1"/>
    </row>
    <row r="106" spans="1:14" x14ac:dyDescent="0.35">
      <c r="A106" s="6">
        <v>45762</v>
      </c>
      <c r="B106" s="7" t="s">
        <v>55</v>
      </c>
      <c r="C106" s="2" t="str">
        <f t="shared" si="7"/>
        <v>Apr</v>
      </c>
      <c r="D106" s="2" t="str">
        <f t="shared" si="8"/>
        <v>Off-Peak</v>
      </c>
      <c r="E106" s="2" t="str">
        <f t="shared" si="9"/>
        <v>Tue</v>
      </c>
      <c r="F106" s="8">
        <v>114</v>
      </c>
      <c r="G106" s="8">
        <v>150</v>
      </c>
      <c r="H106" s="9">
        <v>17121.55</v>
      </c>
      <c r="I106" s="10">
        <v>156.88</v>
      </c>
      <c r="J106" s="11">
        <f t="shared" si="10"/>
        <v>0.76</v>
      </c>
      <c r="K106" s="10">
        <f t="shared" si="11"/>
        <v>150.1890350877193</v>
      </c>
      <c r="L106" s="10">
        <f t="shared" si="12"/>
        <v>114.14366666666666</v>
      </c>
      <c r="M106" s="5">
        <f t="shared" si="13"/>
        <v>-6.6909649122806911</v>
      </c>
      <c r="N106" s="1"/>
    </row>
    <row r="107" spans="1:14" x14ac:dyDescent="0.35">
      <c r="A107" s="6">
        <v>45763</v>
      </c>
      <c r="B107" s="7" t="s">
        <v>55</v>
      </c>
      <c r="C107" s="2" t="str">
        <f t="shared" si="7"/>
        <v>Apr</v>
      </c>
      <c r="D107" s="2" t="str">
        <f t="shared" si="8"/>
        <v>Off-Peak</v>
      </c>
      <c r="E107" s="2" t="str">
        <f t="shared" si="9"/>
        <v>Wed</v>
      </c>
      <c r="F107" s="8">
        <v>120</v>
      </c>
      <c r="G107" s="8">
        <v>150</v>
      </c>
      <c r="H107" s="9">
        <v>17503.95</v>
      </c>
      <c r="I107" s="10">
        <v>158.71</v>
      </c>
      <c r="J107" s="11">
        <f t="shared" si="10"/>
        <v>0.8</v>
      </c>
      <c r="K107" s="10">
        <f t="shared" si="11"/>
        <v>145.86625000000001</v>
      </c>
      <c r="L107" s="10">
        <f t="shared" si="12"/>
        <v>116.693</v>
      </c>
      <c r="M107" s="5">
        <f t="shared" si="13"/>
        <v>-12.84375</v>
      </c>
      <c r="N107" s="1"/>
    </row>
    <row r="108" spans="1:14" x14ac:dyDescent="0.35">
      <c r="A108" s="6">
        <v>45764</v>
      </c>
      <c r="B108" s="7" t="s">
        <v>55</v>
      </c>
      <c r="C108" s="2" t="str">
        <f t="shared" si="7"/>
        <v>Apr</v>
      </c>
      <c r="D108" s="2" t="str">
        <f t="shared" si="8"/>
        <v>Off-Peak</v>
      </c>
      <c r="E108" s="2" t="str">
        <f t="shared" si="9"/>
        <v>Thu</v>
      </c>
      <c r="F108" s="8">
        <v>127</v>
      </c>
      <c r="G108" s="8">
        <v>150</v>
      </c>
      <c r="H108" s="9">
        <v>20613.97</v>
      </c>
      <c r="I108" s="10">
        <v>159.99</v>
      </c>
      <c r="J108" s="11">
        <f t="shared" si="10"/>
        <v>0.84666666666666668</v>
      </c>
      <c r="K108" s="10">
        <f t="shared" si="11"/>
        <v>162.31472440944881</v>
      </c>
      <c r="L108" s="10">
        <f t="shared" si="12"/>
        <v>137.42646666666667</v>
      </c>
      <c r="M108" s="5">
        <f t="shared" si="13"/>
        <v>2.3247244094488053</v>
      </c>
      <c r="N108" s="1"/>
    </row>
    <row r="109" spans="1:14" x14ac:dyDescent="0.35">
      <c r="A109" s="6">
        <v>45765</v>
      </c>
      <c r="B109" s="7" t="s">
        <v>55</v>
      </c>
      <c r="C109" s="2" t="str">
        <f t="shared" si="7"/>
        <v>Apr</v>
      </c>
      <c r="D109" s="2" t="str">
        <f t="shared" si="8"/>
        <v>Off-Peak</v>
      </c>
      <c r="E109" s="2" t="str">
        <f t="shared" si="9"/>
        <v>Fri</v>
      </c>
      <c r="F109" s="8">
        <v>124</v>
      </c>
      <c r="G109" s="8">
        <v>150</v>
      </c>
      <c r="H109" s="9">
        <v>21417.71</v>
      </c>
      <c r="I109" s="10">
        <v>171.07</v>
      </c>
      <c r="J109" s="11">
        <f t="shared" si="10"/>
        <v>0.82666666666666666</v>
      </c>
      <c r="K109" s="10">
        <f t="shared" si="11"/>
        <v>172.72346774193548</v>
      </c>
      <c r="L109" s="10">
        <f t="shared" si="12"/>
        <v>142.78473333333332</v>
      </c>
      <c r="M109" s="5">
        <f t="shared" si="13"/>
        <v>1.6534677419354864</v>
      </c>
      <c r="N109" s="1"/>
    </row>
    <row r="110" spans="1:14" x14ac:dyDescent="0.35">
      <c r="A110" s="6">
        <v>45766</v>
      </c>
      <c r="B110" s="7" t="s">
        <v>55</v>
      </c>
      <c r="C110" s="2" t="str">
        <f t="shared" si="7"/>
        <v>Apr</v>
      </c>
      <c r="D110" s="2" t="str">
        <f t="shared" si="8"/>
        <v>Off-Peak</v>
      </c>
      <c r="E110" s="2" t="str">
        <f t="shared" si="9"/>
        <v>Sat</v>
      </c>
      <c r="F110" s="8">
        <v>124</v>
      </c>
      <c r="G110" s="8">
        <v>150</v>
      </c>
      <c r="H110" s="9">
        <v>21883.49</v>
      </c>
      <c r="I110" s="10">
        <v>169.3</v>
      </c>
      <c r="J110" s="11">
        <f t="shared" si="10"/>
        <v>0.82666666666666666</v>
      </c>
      <c r="K110" s="10">
        <f t="shared" si="11"/>
        <v>176.47975806451615</v>
      </c>
      <c r="L110" s="10">
        <f t="shared" si="12"/>
        <v>145.88993333333335</v>
      </c>
      <c r="M110" s="5">
        <f t="shared" si="13"/>
        <v>7.1797580645161361</v>
      </c>
      <c r="N110" s="1"/>
    </row>
    <row r="111" spans="1:14" x14ac:dyDescent="0.35">
      <c r="A111" s="6">
        <v>45767</v>
      </c>
      <c r="B111" s="7" t="s">
        <v>55</v>
      </c>
      <c r="C111" s="2" t="str">
        <f t="shared" si="7"/>
        <v>Apr</v>
      </c>
      <c r="D111" s="2" t="str">
        <f t="shared" si="8"/>
        <v>Off-Peak</v>
      </c>
      <c r="E111" s="2" t="str">
        <f t="shared" si="9"/>
        <v>Sun</v>
      </c>
      <c r="F111" s="8">
        <v>105</v>
      </c>
      <c r="G111" s="8">
        <v>150</v>
      </c>
      <c r="H111" s="9">
        <v>15170.76</v>
      </c>
      <c r="I111" s="10">
        <v>151.22</v>
      </c>
      <c r="J111" s="11">
        <f t="shared" si="10"/>
        <v>0.7</v>
      </c>
      <c r="K111" s="10">
        <f t="shared" si="11"/>
        <v>144.48342857142856</v>
      </c>
      <c r="L111" s="10">
        <f t="shared" si="12"/>
        <v>101.1384</v>
      </c>
      <c r="M111" s="5">
        <f t="shared" si="13"/>
        <v>-6.7365714285714375</v>
      </c>
      <c r="N111" s="1"/>
    </row>
    <row r="112" spans="1:14" x14ac:dyDescent="0.35">
      <c r="A112" s="6">
        <v>45768</v>
      </c>
      <c r="B112" s="7" t="s">
        <v>55</v>
      </c>
      <c r="C112" s="2" t="str">
        <f t="shared" si="7"/>
        <v>Apr</v>
      </c>
      <c r="D112" s="2" t="str">
        <f t="shared" si="8"/>
        <v>Off-Peak</v>
      </c>
      <c r="E112" s="2" t="str">
        <f t="shared" si="9"/>
        <v>Mon</v>
      </c>
      <c r="F112" s="8">
        <v>111</v>
      </c>
      <c r="G112" s="8">
        <v>150</v>
      </c>
      <c r="H112" s="9">
        <v>16263.76</v>
      </c>
      <c r="I112" s="10">
        <v>151.51</v>
      </c>
      <c r="J112" s="11">
        <f t="shared" si="10"/>
        <v>0.74</v>
      </c>
      <c r="K112" s="10">
        <f t="shared" si="11"/>
        <v>146.52036036036037</v>
      </c>
      <c r="L112" s="10">
        <f t="shared" si="12"/>
        <v>108.42506666666667</v>
      </c>
      <c r="M112" s="5">
        <f t="shared" si="13"/>
        <v>-4.9896396396396199</v>
      </c>
      <c r="N112" s="1"/>
    </row>
    <row r="113" spans="1:14" x14ac:dyDescent="0.35">
      <c r="A113" s="6">
        <v>45769</v>
      </c>
      <c r="B113" s="7" t="s">
        <v>55</v>
      </c>
      <c r="C113" s="2" t="str">
        <f t="shared" si="7"/>
        <v>Apr</v>
      </c>
      <c r="D113" s="2" t="str">
        <f t="shared" si="8"/>
        <v>Off-Peak</v>
      </c>
      <c r="E113" s="2" t="str">
        <f t="shared" si="9"/>
        <v>Tue</v>
      </c>
      <c r="F113" s="8">
        <v>116</v>
      </c>
      <c r="G113" s="8">
        <v>150</v>
      </c>
      <c r="H113" s="9">
        <v>18660.77</v>
      </c>
      <c r="I113" s="10">
        <v>155.99</v>
      </c>
      <c r="J113" s="11">
        <f t="shared" si="10"/>
        <v>0.77333333333333332</v>
      </c>
      <c r="K113" s="10">
        <f t="shared" si="11"/>
        <v>160.86870689655171</v>
      </c>
      <c r="L113" s="10">
        <f t="shared" si="12"/>
        <v>124.40513333333334</v>
      </c>
      <c r="M113" s="5">
        <f t="shared" si="13"/>
        <v>4.8787068965517051</v>
      </c>
      <c r="N113" s="1"/>
    </row>
    <row r="114" spans="1:14" x14ac:dyDescent="0.35">
      <c r="A114" s="6">
        <v>45770</v>
      </c>
      <c r="B114" s="7" t="s">
        <v>55</v>
      </c>
      <c r="C114" s="2" t="str">
        <f t="shared" si="7"/>
        <v>Apr</v>
      </c>
      <c r="D114" s="2" t="str">
        <f t="shared" si="8"/>
        <v>Off-Peak</v>
      </c>
      <c r="E114" s="2" t="str">
        <f t="shared" si="9"/>
        <v>Wed</v>
      </c>
      <c r="F114" s="8">
        <v>118</v>
      </c>
      <c r="G114" s="8">
        <v>150</v>
      </c>
      <c r="H114" s="9">
        <v>19395.5</v>
      </c>
      <c r="I114" s="10">
        <v>159.77000000000001</v>
      </c>
      <c r="J114" s="11">
        <f t="shared" si="10"/>
        <v>0.78666666666666663</v>
      </c>
      <c r="K114" s="10">
        <f t="shared" si="11"/>
        <v>164.36864406779662</v>
      </c>
      <c r="L114" s="10">
        <f t="shared" si="12"/>
        <v>129.30333333333334</v>
      </c>
      <c r="M114" s="5">
        <f t="shared" si="13"/>
        <v>4.5986440677966129</v>
      </c>
      <c r="N114" s="1"/>
    </row>
    <row r="115" spans="1:14" x14ac:dyDescent="0.35">
      <c r="A115" s="6">
        <v>45771</v>
      </c>
      <c r="B115" s="7" t="s">
        <v>55</v>
      </c>
      <c r="C115" s="2" t="str">
        <f t="shared" si="7"/>
        <v>Apr</v>
      </c>
      <c r="D115" s="2" t="str">
        <f t="shared" si="8"/>
        <v>Off-Peak</v>
      </c>
      <c r="E115" s="2" t="str">
        <f t="shared" si="9"/>
        <v>Thu</v>
      </c>
      <c r="F115" s="8">
        <v>121</v>
      </c>
      <c r="G115" s="8">
        <v>150</v>
      </c>
      <c r="H115" s="9">
        <v>19763.98</v>
      </c>
      <c r="I115" s="10">
        <v>160.78</v>
      </c>
      <c r="J115" s="11">
        <f t="shared" si="10"/>
        <v>0.80666666666666664</v>
      </c>
      <c r="K115" s="10">
        <f t="shared" si="11"/>
        <v>163.33867768595042</v>
      </c>
      <c r="L115" s="10">
        <f t="shared" si="12"/>
        <v>131.75986666666665</v>
      </c>
      <c r="M115" s="5">
        <f t="shared" si="13"/>
        <v>2.5586776859504141</v>
      </c>
      <c r="N115" s="1"/>
    </row>
    <row r="116" spans="1:14" x14ac:dyDescent="0.35">
      <c r="A116" s="6">
        <v>45772</v>
      </c>
      <c r="B116" s="7" t="s">
        <v>55</v>
      </c>
      <c r="C116" s="2" t="str">
        <f t="shared" si="7"/>
        <v>Apr</v>
      </c>
      <c r="D116" s="2" t="str">
        <f t="shared" si="8"/>
        <v>Off-Peak</v>
      </c>
      <c r="E116" s="2" t="str">
        <f t="shared" si="9"/>
        <v>Fri</v>
      </c>
      <c r="F116" s="8">
        <v>126</v>
      </c>
      <c r="G116" s="8">
        <v>150</v>
      </c>
      <c r="H116" s="9">
        <v>20417.75</v>
      </c>
      <c r="I116" s="10">
        <v>169.33</v>
      </c>
      <c r="J116" s="11">
        <f t="shared" si="10"/>
        <v>0.84</v>
      </c>
      <c r="K116" s="10">
        <f t="shared" si="11"/>
        <v>162.04563492063491</v>
      </c>
      <c r="L116" s="10">
        <f t="shared" si="12"/>
        <v>136.11833333333334</v>
      </c>
      <c r="M116" s="5">
        <f t="shared" si="13"/>
        <v>-7.2843650793651022</v>
      </c>
      <c r="N116" s="1"/>
    </row>
    <row r="117" spans="1:14" x14ac:dyDescent="0.35">
      <c r="A117" s="6">
        <v>45773</v>
      </c>
      <c r="B117" s="7" t="s">
        <v>55</v>
      </c>
      <c r="C117" s="2" t="str">
        <f t="shared" si="7"/>
        <v>Apr</v>
      </c>
      <c r="D117" s="2" t="str">
        <f t="shared" si="8"/>
        <v>Off-Peak</v>
      </c>
      <c r="E117" s="2" t="str">
        <f t="shared" si="9"/>
        <v>Sat</v>
      </c>
      <c r="F117" s="8">
        <v>131</v>
      </c>
      <c r="G117" s="8">
        <v>150</v>
      </c>
      <c r="H117" s="9">
        <v>22104.94</v>
      </c>
      <c r="I117" s="10">
        <v>174.85</v>
      </c>
      <c r="J117" s="11">
        <f t="shared" si="10"/>
        <v>0.87333333333333329</v>
      </c>
      <c r="K117" s="10">
        <f t="shared" si="11"/>
        <v>168.73999999999998</v>
      </c>
      <c r="L117" s="10">
        <f t="shared" si="12"/>
        <v>147.36626666666666</v>
      </c>
      <c r="M117" s="5">
        <f t="shared" si="13"/>
        <v>-6.1100000000000136</v>
      </c>
      <c r="N117" s="1"/>
    </row>
    <row r="118" spans="1:14" x14ac:dyDescent="0.35">
      <c r="A118" s="6">
        <v>45774</v>
      </c>
      <c r="B118" s="7" t="s">
        <v>55</v>
      </c>
      <c r="C118" s="2" t="str">
        <f t="shared" si="7"/>
        <v>Apr</v>
      </c>
      <c r="D118" s="2" t="str">
        <f t="shared" si="8"/>
        <v>Off-Peak</v>
      </c>
      <c r="E118" s="2" t="str">
        <f t="shared" si="9"/>
        <v>Sun</v>
      </c>
      <c r="F118" s="8">
        <v>109</v>
      </c>
      <c r="G118" s="8">
        <v>150</v>
      </c>
      <c r="H118" s="9">
        <v>16319.23</v>
      </c>
      <c r="I118" s="10">
        <v>148.91</v>
      </c>
      <c r="J118" s="11">
        <f t="shared" si="10"/>
        <v>0.72666666666666668</v>
      </c>
      <c r="K118" s="10">
        <f t="shared" si="11"/>
        <v>149.71770642201835</v>
      </c>
      <c r="L118" s="10">
        <f t="shared" si="12"/>
        <v>108.79486666666666</v>
      </c>
      <c r="M118" s="5">
        <f t="shared" si="13"/>
        <v>0.80770642201835585</v>
      </c>
      <c r="N118" s="1"/>
    </row>
    <row r="119" spans="1:14" x14ac:dyDescent="0.35">
      <c r="A119" s="6">
        <v>45775</v>
      </c>
      <c r="B119" s="7" t="s">
        <v>55</v>
      </c>
      <c r="C119" s="2" t="str">
        <f t="shared" si="7"/>
        <v>Apr</v>
      </c>
      <c r="D119" s="2" t="str">
        <f t="shared" si="8"/>
        <v>Off-Peak</v>
      </c>
      <c r="E119" s="2" t="str">
        <f t="shared" si="9"/>
        <v>Mon</v>
      </c>
      <c r="F119" s="8">
        <v>108</v>
      </c>
      <c r="G119" s="8">
        <v>150</v>
      </c>
      <c r="H119" s="9">
        <v>16195.62</v>
      </c>
      <c r="I119" s="10">
        <v>153.16999999999999</v>
      </c>
      <c r="J119" s="11">
        <f t="shared" si="10"/>
        <v>0.72</v>
      </c>
      <c r="K119" s="10">
        <f t="shared" si="11"/>
        <v>149.95944444444444</v>
      </c>
      <c r="L119" s="10">
        <f t="shared" si="12"/>
        <v>107.97080000000001</v>
      </c>
      <c r="M119" s="5">
        <f t="shared" si="13"/>
        <v>-3.2105555555555441</v>
      </c>
      <c r="N119" s="1"/>
    </row>
    <row r="120" spans="1:14" x14ac:dyDescent="0.35">
      <c r="A120" s="6">
        <v>45776</v>
      </c>
      <c r="B120" s="7" t="s">
        <v>55</v>
      </c>
      <c r="C120" s="2" t="str">
        <f t="shared" si="7"/>
        <v>Apr</v>
      </c>
      <c r="D120" s="2" t="str">
        <f t="shared" si="8"/>
        <v>Off-Peak</v>
      </c>
      <c r="E120" s="2" t="str">
        <f t="shared" si="9"/>
        <v>Tue</v>
      </c>
      <c r="F120" s="8">
        <v>114</v>
      </c>
      <c r="G120" s="8">
        <v>150</v>
      </c>
      <c r="H120" s="9">
        <v>16766.07</v>
      </c>
      <c r="I120" s="10">
        <v>157.41</v>
      </c>
      <c r="J120" s="11">
        <f t="shared" si="10"/>
        <v>0.76</v>
      </c>
      <c r="K120" s="10">
        <f t="shared" si="11"/>
        <v>147.07078947368421</v>
      </c>
      <c r="L120" s="10">
        <f t="shared" si="12"/>
        <v>111.77379999999999</v>
      </c>
      <c r="M120" s="5">
        <f t="shared" si="13"/>
        <v>-10.339210526315782</v>
      </c>
      <c r="N120" s="1"/>
    </row>
    <row r="121" spans="1:14" x14ac:dyDescent="0.35">
      <c r="A121" s="6">
        <v>45777</v>
      </c>
      <c r="B121" s="7" t="s">
        <v>55</v>
      </c>
      <c r="C121" s="2" t="str">
        <f t="shared" si="7"/>
        <v>Apr</v>
      </c>
      <c r="D121" s="2" t="str">
        <f t="shared" si="8"/>
        <v>Off-Peak</v>
      </c>
      <c r="E121" s="2" t="str">
        <f t="shared" si="9"/>
        <v>Wed</v>
      </c>
      <c r="F121" s="8">
        <v>121</v>
      </c>
      <c r="G121" s="8">
        <v>150</v>
      </c>
      <c r="H121" s="9">
        <v>18946.25</v>
      </c>
      <c r="I121" s="10">
        <v>156.06</v>
      </c>
      <c r="J121" s="11">
        <f t="shared" si="10"/>
        <v>0.80666666666666664</v>
      </c>
      <c r="K121" s="10">
        <f t="shared" si="11"/>
        <v>156.5805785123967</v>
      </c>
      <c r="L121" s="10">
        <f t="shared" si="12"/>
        <v>126.30833333333334</v>
      </c>
      <c r="M121" s="5">
        <f t="shared" si="13"/>
        <v>0.52057851239669617</v>
      </c>
      <c r="N121" s="1"/>
    </row>
    <row r="122" spans="1:14" x14ac:dyDescent="0.35">
      <c r="A122" s="6">
        <v>45778</v>
      </c>
      <c r="B122" s="7" t="s">
        <v>55</v>
      </c>
      <c r="C122" s="2" t="str">
        <f t="shared" si="7"/>
        <v>May</v>
      </c>
      <c r="D122" s="2" t="str">
        <f t="shared" si="8"/>
        <v>Peak</v>
      </c>
      <c r="E122" s="2" t="str">
        <f t="shared" si="9"/>
        <v>Thu</v>
      </c>
      <c r="F122" s="8">
        <v>129</v>
      </c>
      <c r="G122" s="8">
        <v>150</v>
      </c>
      <c r="H122" s="9">
        <v>22907.91</v>
      </c>
      <c r="I122" s="10">
        <v>173.51</v>
      </c>
      <c r="J122" s="11">
        <f t="shared" si="10"/>
        <v>0.86</v>
      </c>
      <c r="K122" s="10">
        <f t="shared" si="11"/>
        <v>177.58069767441862</v>
      </c>
      <c r="L122" s="10">
        <f t="shared" si="12"/>
        <v>152.71940000000001</v>
      </c>
      <c r="M122" s="5">
        <f t="shared" si="13"/>
        <v>4.070697674418625</v>
      </c>
      <c r="N122" s="1"/>
    </row>
    <row r="123" spans="1:14" x14ac:dyDescent="0.35">
      <c r="A123" s="6">
        <v>45779</v>
      </c>
      <c r="B123" s="7" t="s">
        <v>55</v>
      </c>
      <c r="C123" s="2" t="str">
        <f t="shared" si="7"/>
        <v>May</v>
      </c>
      <c r="D123" s="2" t="str">
        <f t="shared" si="8"/>
        <v>Peak</v>
      </c>
      <c r="E123" s="2" t="str">
        <f t="shared" si="9"/>
        <v>Fri</v>
      </c>
      <c r="F123" s="8">
        <v>136</v>
      </c>
      <c r="G123" s="8">
        <v>150</v>
      </c>
      <c r="H123" s="9">
        <v>25083.25</v>
      </c>
      <c r="I123" s="10">
        <v>181.55</v>
      </c>
      <c r="J123" s="11">
        <f t="shared" si="10"/>
        <v>0.90666666666666662</v>
      </c>
      <c r="K123" s="10">
        <f t="shared" si="11"/>
        <v>184.43566176470588</v>
      </c>
      <c r="L123" s="10">
        <f t="shared" si="12"/>
        <v>167.22166666666666</v>
      </c>
      <c r="M123" s="5">
        <f t="shared" si="13"/>
        <v>2.8856617647058727</v>
      </c>
      <c r="N123" s="1"/>
    </row>
    <row r="124" spans="1:14" x14ac:dyDescent="0.35">
      <c r="A124" s="6">
        <v>45780</v>
      </c>
      <c r="B124" s="7" t="s">
        <v>55</v>
      </c>
      <c r="C124" s="2" t="str">
        <f t="shared" si="7"/>
        <v>May</v>
      </c>
      <c r="D124" s="2" t="str">
        <f t="shared" si="8"/>
        <v>Peak</v>
      </c>
      <c r="E124" s="2" t="str">
        <f t="shared" si="9"/>
        <v>Sat</v>
      </c>
      <c r="F124" s="8">
        <v>131</v>
      </c>
      <c r="G124" s="8">
        <v>150</v>
      </c>
      <c r="H124" s="9">
        <v>24227.91</v>
      </c>
      <c r="I124" s="10">
        <v>182.15</v>
      </c>
      <c r="J124" s="11">
        <f t="shared" si="10"/>
        <v>0.87333333333333329</v>
      </c>
      <c r="K124" s="10">
        <f t="shared" si="11"/>
        <v>184.94587786259541</v>
      </c>
      <c r="L124" s="10">
        <f t="shared" si="12"/>
        <v>161.51939999999999</v>
      </c>
      <c r="M124" s="5">
        <f t="shared" si="13"/>
        <v>2.7958778625954039</v>
      </c>
      <c r="N124" s="1"/>
    </row>
    <row r="125" spans="1:14" x14ac:dyDescent="0.35">
      <c r="A125" s="6">
        <v>45781</v>
      </c>
      <c r="B125" s="7" t="s">
        <v>55</v>
      </c>
      <c r="C125" s="2" t="str">
        <f t="shared" si="7"/>
        <v>May</v>
      </c>
      <c r="D125" s="2" t="str">
        <f t="shared" si="8"/>
        <v>Peak</v>
      </c>
      <c r="E125" s="2" t="str">
        <f t="shared" si="9"/>
        <v>Sun</v>
      </c>
      <c r="F125" s="8">
        <v>118</v>
      </c>
      <c r="G125" s="8">
        <v>150</v>
      </c>
      <c r="H125" s="9">
        <v>18840.099999999999</v>
      </c>
      <c r="I125" s="10">
        <v>163.95</v>
      </c>
      <c r="J125" s="11">
        <f t="shared" si="10"/>
        <v>0.78666666666666663</v>
      </c>
      <c r="K125" s="10">
        <f t="shared" si="11"/>
        <v>159.66186440677964</v>
      </c>
      <c r="L125" s="10">
        <f t="shared" si="12"/>
        <v>125.60066666666665</v>
      </c>
      <c r="M125" s="5">
        <f t="shared" si="13"/>
        <v>-4.2881355932203462</v>
      </c>
      <c r="N125" s="1"/>
    </row>
    <row r="126" spans="1:14" x14ac:dyDescent="0.35">
      <c r="A126" s="6">
        <v>45782</v>
      </c>
      <c r="B126" s="7" t="s">
        <v>55</v>
      </c>
      <c r="C126" s="2" t="str">
        <f t="shared" si="7"/>
        <v>May</v>
      </c>
      <c r="D126" s="2" t="str">
        <f t="shared" si="8"/>
        <v>Peak</v>
      </c>
      <c r="E126" s="2" t="str">
        <f t="shared" si="9"/>
        <v>Mon</v>
      </c>
      <c r="F126" s="8">
        <v>115</v>
      </c>
      <c r="G126" s="8">
        <v>150</v>
      </c>
      <c r="H126" s="9">
        <v>17898.11</v>
      </c>
      <c r="I126" s="10">
        <v>166.82</v>
      </c>
      <c r="J126" s="11">
        <f t="shared" si="10"/>
        <v>0.76666666666666672</v>
      </c>
      <c r="K126" s="10">
        <f t="shared" si="11"/>
        <v>155.63573913043479</v>
      </c>
      <c r="L126" s="10">
        <f t="shared" si="12"/>
        <v>119.32073333333334</v>
      </c>
      <c r="M126" s="5">
        <f t="shared" si="13"/>
        <v>-11.184260869565207</v>
      </c>
      <c r="N126" s="1"/>
    </row>
    <row r="127" spans="1:14" x14ac:dyDescent="0.35">
      <c r="A127" s="6">
        <v>45783</v>
      </c>
      <c r="B127" s="7" t="s">
        <v>55</v>
      </c>
      <c r="C127" s="2" t="str">
        <f t="shared" si="7"/>
        <v>May</v>
      </c>
      <c r="D127" s="2" t="str">
        <f t="shared" si="8"/>
        <v>Peak</v>
      </c>
      <c r="E127" s="2" t="str">
        <f t="shared" si="9"/>
        <v>Tue</v>
      </c>
      <c r="F127" s="8">
        <v>117</v>
      </c>
      <c r="G127" s="8">
        <v>150</v>
      </c>
      <c r="H127" s="9">
        <v>19931.919999999998</v>
      </c>
      <c r="I127" s="10">
        <v>170.33</v>
      </c>
      <c r="J127" s="11">
        <f t="shared" si="10"/>
        <v>0.78</v>
      </c>
      <c r="K127" s="10">
        <f t="shared" si="11"/>
        <v>170.35829059829058</v>
      </c>
      <c r="L127" s="10">
        <f t="shared" si="12"/>
        <v>132.87946666666664</v>
      </c>
      <c r="M127" s="5">
        <f t="shared" si="13"/>
        <v>2.8290598290567459E-2</v>
      </c>
      <c r="N127" s="1"/>
    </row>
    <row r="128" spans="1:14" x14ac:dyDescent="0.35">
      <c r="A128" s="6">
        <v>45784</v>
      </c>
      <c r="B128" s="7" t="s">
        <v>55</v>
      </c>
      <c r="C128" s="2" t="str">
        <f t="shared" si="7"/>
        <v>May</v>
      </c>
      <c r="D128" s="2" t="str">
        <f t="shared" si="8"/>
        <v>Peak</v>
      </c>
      <c r="E128" s="2" t="str">
        <f t="shared" si="9"/>
        <v>Wed</v>
      </c>
      <c r="F128" s="8">
        <v>129</v>
      </c>
      <c r="G128" s="8">
        <v>150</v>
      </c>
      <c r="H128" s="9">
        <v>22872.95</v>
      </c>
      <c r="I128" s="10">
        <v>175.07</v>
      </c>
      <c r="J128" s="11">
        <f t="shared" si="10"/>
        <v>0.86</v>
      </c>
      <c r="K128" s="10">
        <f t="shared" si="11"/>
        <v>177.30968992248063</v>
      </c>
      <c r="L128" s="10">
        <f t="shared" si="12"/>
        <v>152.48633333333333</v>
      </c>
      <c r="M128" s="5">
        <f t="shared" si="13"/>
        <v>2.2396899224806361</v>
      </c>
      <c r="N128" s="1"/>
    </row>
    <row r="129" spans="1:14" x14ac:dyDescent="0.35">
      <c r="A129" s="6">
        <v>45785</v>
      </c>
      <c r="B129" s="7" t="s">
        <v>55</v>
      </c>
      <c r="C129" s="2" t="str">
        <f t="shared" si="7"/>
        <v>May</v>
      </c>
      <c r="D129" s="2" t="str">
        <f t="shared" si="8"/>
        <v>Peak</v>
      </c>
      <c r="E129" s="2" t="str">
        <f t="shared" si="9"/>
        <v>Thu</v>
      </c>
      <c r="F129" s="8">
        <v>124</v>
      </c>
      <c r="G129" s="8">
        <v>150</v>
      </c>
      <c r="H129" s="9">
        <v>22884.26</v>
      </c>
      <c r="I129" s="10">
        <v>175</v>
      </c>
      <c r="J129" s="11">
        <f t="shared" si="10"/>
        <v>0.82666666666666666</v>
      </c>
      <c r="K129" s="10">
        <f t="shared" si="11"/>
        <v>184.55048387096772</v>
      </c>
      <c r="L129" s="10">
        <f t="shared" si="12"/>
        <v>152.56173333333334</v>
      </c>
      <c r="M129" s="5">
        <f t="shared" si="13"/>
        <v>9.5504838709677244</v>
      </c>
      <c r="N129" s="1"/>
    </row>
    <row r="130" spans="1:14" x14ac:dyDescent="0.35">
      <c r="A130" s="6">
        <v>45786</v>
      </c>
      <c r="B130" s="7" t="s">
        <v>55</v>
      </c>
      <c r="C130" s="2" t="str">
        <f t="shared" ref="C130:C193" si="14">CHOOSE(MONTH(A130),"Jan","Feb","Mar","Apr","May","Jun","Jul","Aug","Sep","Oct","Nov","Dec")</f>
        <v>May</v>
      </c>
      <c r="D130" s="2" t="str">
        <f t="shared" ref="D130:D193" si="15">IF(AND(MONTH(A130)&gt;=5,MONTH(A130)&lt;=9),"Peak","Off-Peak")</f>
        <v>Peak</v>
      </c>
      <c r="E130" s="2" t="str">
        <f t="shared" ref="E130:E193" si="16">CHOOSE(WEEKDAY(A130,2),"Mon","Tue","Wed","Thu","Fri","Sat","Sun")</f>
        <v>Fri</v>
      </c>
      <c r="F130" s="8">
        <v>131</v>
      </c>
      <c r="G130" s="8">
        <v>150</v>
      </c>
      <c r="H130" s="9">
        <v>26092.83</v>
      </c>
      <c r="I130" s="10">
        <v>182.1</v>
      </c>
      <c r="J130" s="11">
        <f t="shared" ref="J130:J193" si="17">IF(G130=0,0,F130/G130)</f>
        <v>0.87333333333333329</v>
      </c>
      <c r="K130" s="10">
        <f t="shared" ref="K130:K193" si="18">IF(F130=0,0,H130/F130)</f>
        <v>199.18190839694657</v>
      </c>
      <c r="L130" s="10">
        <f t="shared" ref="L130:L193" si="19">IF(G130=0,0,H130/G130)</f>
        <v>173.9522</v>
      </c>
      <c r="M130" s="5">
        <f t="shared" ref="M130:M193" si="20">K130-I130</f>
        <v>17.081908396946574</v>
      </c>
      <c r="N130" s="1"/>
    </row>
    <row r="131" spans="1:14" x14ac:dyDescent="0.35">
      <c r="A131" s="6">
        <v>45787</v>
      </c>
      <c r="B131" s="7" t="s">
        <v>55</v>
      </c>
      <c r="C131" s="2" t="str">
        <f t="shared" si="14"/>
        <v>May</v>
      </c>
      <c r="D131" s="2" t="str">
        <f t="shared" si="15"/>
        <v>Peak</v>
      </c>
      <c r="E131" s="2" t="str">
        <f t="shared" si="16"/>
        <v>Sat</v>
      </c>
      <c r="F131" s="8">
        <v>135</v>
      </c>
      <c r="G131" s="8">
        <v>150</v>
      </c>
      <c r="H131" s="9">
        <v>26131.9</v>
      </c>
      <c r="I131" s="10">
        <v>178.61</v>
      </c>
      <c r="J131" s="11">
        <f t="shared" si="17"/>
        <v>0.9</v>
      </c>
      <c r="K131" s="10">
        <f t="shared" si="18"/>
        <v>193.56962962962965</v>
      </c>
      <c r="L131" s="10">
        <f t="shared" si="19"/>
        <v>174.21266666666668</v>
      </c>
      <c r="M131" s="5">
        <f t="shared" si="20"/>
        <v>14.959629629629632</v>
      </c>
      <c r="N131" s="1"/>
    </row>
    <row r="132" spans="1:14" x14ac:dyDescent="0.35">
      <c r="A132" s="6">
        <v>45788</v>
      </c>
      <c r="B132" s="7" t="s">
        <v>55</v>
      </c>
      <c r="C132" s="2" t="str">
        <f t="shared" si="14"/>
        <v>May</v>
      </c>
      <c r="D132" s="2" t="str">
        <f t="shared" si="15"/>
        <v>Peak</v>
      </c>
      <c r="E132" s="2" t="str">
        <f t="shared" si="16"/>
        <v>Sun</v>
      </c>
      <c r="F132" s="8">
        <v>116</v>
      </c>
      <c r="G132" s="8">
        <v>150</v>
      </c>
      <c r="H132" s="9">
        <v>18438.41</v>
      </c>
      <c r="I132" s="10">
        <v>165.93</v>
      </c>
      <c r="J132" s="11">
        <f t="shared" si="17"/>
        <v>0.77333333333333332</v>
      </c>
      <c r="K132" s="10">
        <f t="shared" si="18"/>
        <v>158.95181034482758</v>
      </c>
      <c r="L132" s="10">
        <f t="shared" si="19"/>
        <v>122.92273333333333</v>
      </c>
      <c r="M132" s="5">
        <f t="shared" si="20"/>
        <v>-6.9781896551724287</v>
      </c>
      <c r="N132" s="1"/>
    </row>
    <row r="133" spans="1:14" x14ac:dyDescent="0.35">
      <c r="A133" s="6">
        <v>45789</v>
      </c>
      <c r="B133" s="7" t="s">
        <v>55</v>
      </c>
      <c r="C133" s="2" t="str">
        <f t="shared" si="14"/>
        <v>May</v>
      </c>
      <c r="D133" s="2" t="str">
        <f t="shared" si="15"/>
        <v>Peak</v>
      </c>
      <c r="E133" s="2" t="str">
        <f t="shared" si="16"/>
        <v>Mon</v>
      </c>
      <c r="F133" s="8">
        <v>122</v>
      </c>
      <c r="G133" s="8">
        <v>150</v>
      </c>
      <c r="H133" s="9">
        <v>19401.240000000002</v>
      </c>
      <c r="I133" s="10">
        <v>164.65</v>
      </c>
      <c r="J133" s="11">
        <f t="shared" si="17"/>
        <v>0.81333333333333335</v>
      </c>
      <c r="K133" s="10">
        <f t="shared" si="18"/>
        <v>159.02655737704919</v>
      </c>
      <c r="L133" s="10">
        <f t="shared" si="19"/>
        <v>129.3416</v>
      </c>
      <c r="M133" s="5">
        <f t="shared" si="20"/>
        <v>-5.6234426229508188</v>
      </c>
      <c r="N133" s="1"/>
    </row>
    <row r="134" spans="1:14" x14ac:dyDescent="0.35">
      <c r="A134" s="6">
        <v>45790</v>
      </c>
      <c r="B134" s="7" t="s">
        <v>55</v>
      </c>
      <c r="C134" s="2" t="str">
        <f t="shared" si="14"/>
        <v>May</v>
      </c>
      <c r="D134" s="2" t="str">
        <f t="shared" si="15"/>
        <v>Peak</v>
      </c>
      <c r="E134" s="2" t="str">
        <f t="shared" si="16"/>
        <v>Tue</v>
      </c>
      <c r="F134" s="8">
        <v>119</v>
      </c>
      <c r="G134" s="8">
        <v>150</v>
      </c>
      <c r="H134" s="9">
        <v>20330.150000000001</v>
      </c>
      <c r="I134" s="10">
        <v>171.32</v>
      </c>
      <c r="J134" s="11">
        <f t="shared" si="17"/>
        <v>0.79333333333333333</v>
      </c>
      <c r="K134" s="10">
        <f t="shared" si="18"/>
        <v>170.84159663865549</v>
      </c>
      <c r="L134" s="10">
        <f t="shared" si="19"/>
        <v>135.53433333333334</v>
      </c>
      <c r="M134" s="5">
        <f t="shared" si="20"/>
        <v>-0.47840336134450467</v>
      </c>
      <c r="N134" s="1"/>
    </row>
    <row r="135" spans="1:14" x14ac:dyDescent="0.35">
      <c r="A135" s="6">
        <v>45791</v>
      </c>
      <c r="B135" s="7" t="s">
        <v>55</v>
      </c>
      <c r="C135" s="2" t="str">
        <f t="shared" si="14"/>
        <v>May</v>
      </c>
      <c r="D135" s="2" t="str">
        <f t="shared" si="15"/>
        <v>Peak</v>
      </c>
      <c r="E135" s="2" t="str">
        <f t="shared" si="16"/>
        <v>Wed</v>
      </c>
      <c r="F135" s="8">
        <v>131</v>
      </c>
      <c r="G135" s="8">
        <v>150</v>
      </c>
      <c r="H135" s="9">
        <v>21880.89</v>
      </c>
      <c r="I135" s="10">
        <v>170.96</v>
      </c>
      <c r="J135" s="11">
        <f t="shared" si="17"/>
        <v>0.87333333333333329</v>
      </c>
      <c r="K135" s="10">
        <f t="shared" si="18"/>
        <v>167.02969465648854</v>
      </c>
      <c r="L135" s="10">
        <f t="shared" si="19"/>
        <v>145.87260000000001</v>
      </c>
      <c r="M135" s="5">
        <f t="shared" si="20"/>
        <v>-3.9303053435114634</v>
      </c>
      <c r="N135" s="1"/>
    </row>
    <row r="136" spans="1:14" x14ac:dyDescent="0.35">
      <c r="A136" s="6">
        <v>45792</v>
      </c>
      <c r="B136" s="7" t="s">
        <v>55</v>
      </c>
      <c r="C136" s="2" t="str">
        <f t="shared" si="14"/>
        <v>May</v>
      </c>
      <c r="D136" s="2" t="str">
        <f t="shared" si="15"/>
        <v>Peak</v>
      </c>
      <c r="E136" s="2" t="str">
        <f t="shared" si="16"/>
        <v>Thu</v>
      </c>
      <c r="F136" s="8">
        <v>133</v>
      </c>
      <c r="G136" s="8">
        <v>150</v>
      </c>
      <c r="H136" s="9">
        <v>23945.919999999998</v>
      </c>
      <c r="I136" s="10">
        <v>171.17</v>
      </c>
      <c r="J136" s="11">
        <f t="shared" si="17"/>
        <v>0.88666666666666671</v>
      </c>
      <c r="K136" s="10">
        <f t="shared" si="18"/>
        <v>180.04451127819547</v>
      </c>
      <c r="L136" s="10">
        <f t="shared" si="19"/>
        <v>159.63946666666666</v>
      </c>
      <c r="M136" s="5">
        <f t="shared" si="20"/>
        <v>8.8745112781954845</v>
      </c>
      <c r="N136" s="1"/>
    </row>
    <row r="137" spans="1:14" x14ac:dyDescent="0.35">
      <c r="A137" s="6">
        <v>45793</v>
      </c>
      <c r="B137" s="7" t="s">
        <v>55</v>
      </c>
      <c r="C137" s="2" t="str">
        <f t="shared" si="14"/>
        <v>May</v>
      </c>
      <c r="D137" s="2" t="str">
        <f t="shared" si="15"/>
        <v>Peak</v>
      </c>
      <c r="E137" s="2" t="str">
        <f t="shared" si="16"/>
        <v>Fri</v>
      </c>
      <c r="F137" s="8">
        <v>136</v>
      </c>
      <c r="G137" s="8">
        <v>150</v>
      </c>
      <c r="H137" s="9">
        <v>25846.5</v>
      </c>
      <c r="I137" s="10">
        <v>185.72</v>
      </c>
      <c r="J137" s="11">
        <f t="shared" si="17"/>
        <v>0.90666666666666662</v>
      </c>
      <c r="K137" s="10">
        <f t="shared" si="18"/>
        <v>190.04779411764707</v>
      </c>
      <c r="L137" s="10">
        <f t="shared" si="19"/>
        <v>172.31</v>
      </c>
      <c r="M137" s="5">
        <f t="shared" si="20"/>
        <v>4.3277941176470733</v>
      </c>
      <c r="N137" s="1"/>
    </row>
    <row r="138" spans="1:14" x14ac:dyDescent="0.35">
      <c r="A138" s="6">
        <v>45794</v>
      </c>
      <c r="B138" s="7" t="s">
        <v>55</v>
      </c>
      <c r="C138" s="2" t="str">
        <f t="shared" si="14"/>
        <v>May</v>
      </c>
      <c r="D138" s="2" t="str">
        <f t="shared" si="15"/>
        <v>Peak</v>
      </c>
      <c r="E138" s="2" t="str">
        <f t="shared" si="16"/>
        <v>Sat</v>
      </c>
      <c r="F138" s="8">
        <v>136</v>
      </c>
      <c r="G138" s="8">
        <v>150</v>
      </c>
      <c r="H138" s="9">
        <v>26437.33</v>
      </c>
      <c r="I138" s="10">
        <v>186.62</v>
      </c>
      <c r="J138" s="11">
        <f t="shared" si="17"/>
        <v>0.90666666666666662</v>
      </c>
      <c r="K138" s="10">
        <f t="shared" si="18"/>
        <v>194.39213235294119</v>
      </c>
      <c r="L138" s="10">
        <f t="shared" si="19"/>
        <v>176.24886666666669</v>
      </c>
      <c r="M138" s="5">
        <f t="shared" si="20"/>
        <v>7.7721323529411848</v>
      </c>
      <c r="N138" s="1"/>
    </row>
    <row r="139" spans="1:14" x14ac:dyDescent="0.35">
      <c r="A139" s="6">
        <v>45795</v>
      </c>
      <c r="B139" s="7" t="s">
        <v>55</v>
      </c>
      <c r="C139" s="2" t="str">
        <f t="shared" si="14"/>
        <v>May</v>
      </c>
      <c r="D139" s="2" t="str">
        <f t="shared" si="15"/>
        <v>Peak</v>
      </c>
      <c r="E139" s="2" t="str">
        <f t="shared" si="16"/>
        <v>Sun</v>
      </c>
      <c r="F139" s="8">
        <v>114</v>
      </c>
      <c r="G139" s="8">
        <v>150</v>
      </c>
      <c r="H139" s="9">
        <v>19101.38</v>
      </c>
      <c r="I139" s="10">
        <v>164.66</v>
      </c>
      <c r="J139" s="11">
        <f t="shared" si="17"/>
        <v>0.76</v>
      </c>
      <c r="K139" s="10">
        <f t="shared" si="18"/>
        <v>167.5559649122807</v>
      </c>
      <c r="L139" s="10">
        <f t="shared" si="19"/>
        <v>127.34253333333334</v>
      </c>
      <c r="M139" s="5">
        <f t="shared" si="20"/>
        <v>2.8959649122807036</v>
      </c>
      <c r="N139" s="1"/>
    </row>
    <row r="140" spans="1:14" x14ac:dyDescent="0.35">
      <c r="A140" s="6">
        <v>45796</v>
      </c>
      <c r="B140" s="7" t="s">
        <v>55</v>
      </c>
      <c r="C140" s="2" t="str">
        <f t="shared" si="14"/>
        <v>May</v>
      </c>
      <c r="D140" s="2" t="str">
        <f t="shared" si="15"/>
        <v>Peak</v>
      </c>
      <c r="E140" s="2" t="str">
        <f t="shared" si="16"/>
        <v>Mon</v>
      </c>
      <c r="F140" s="8">
        <v>119</v>
      </c>
      <c r="G140" s="8">
        <v>150</v>
      </c>
      <c r="H140" s="9">
        <v>19793.18</v>
      </c>
      <c r="I140" s="10">
        <v>163.6</v>
      </c>
      <c r="J140" s="11">
        <f t="shared" si="17"/>
        <v>0.79333333333333333</v>
      </c>
      <c r="K140" s="10">
        <f t="shared" si="18"/>
        <v>166.329243697479</v>
      </c>
      <c r="L140" s="10">
        <f t="shared" si="19"/>
        <v>131.95453333333333</v>
      </c>
      <c r="M140" s="5">
        <f t="shared" si="20"/>
        <v>2.7292436974790064</v>
      </c>
      <c r="N140" s="1"/>
    </row>
    <row r="141" spans="1:14" x14ac:dyDescent="0.35">
      <c r="A141" s="6">
        <v>45797</v>
      </c>
      <c r="B141" s="7" t="s">
        <v>55</v>
      </c>
      <c r="C141" s="2" t="str">
        <f t="shared" si="14"/>
        <v>May</v>
      </c>
      <c r="D141" s="2" t="str">
        <f t="shared" si="15"/>
        <v>Peak</v>
      </c>
      <c r="E141" s="2" t="str">
        <f t="shared" si="16"/>
        <v>Tue</v>
      </c>
      <c r="F141" s="8">
        <v>118</v>
      </c>
      <c r="G141" s="8">
        <v>150</v>
      </c>
      <c r="H141" s="9">
        <v>20337.78</v>
      </c>
      <c r="I141" s="10">
        <v>162.91999999999999</v>
      </c>
      <c r="J141" s="11">
        <f t="shared" si="17"/>
        <v>0.78666666666666663</v>
      </c>
      <c r="K141" s="10">
        <f t="shared" si="18"/>
        <v>172.35406779661017</v>
      </c>
      <c r="L141" s="10">
        <f t="shared" si="19"/>
        <v>135.58519999999999</v>
      </c>
      <c r="M141" s="5">
        <f t="shared" si="20"/>
        <v>9.4340677966101794</v>
      </c>
      <c r="N141" s="1"/>
    </row>
    <row r="142" spans="1:14" x14ac:dyDescent="0.35">
      <c r="A142" s="6">
        <v>45798</v>
      </c>
      <c r="B142" s="7" t="s">
        <v>55</v>
      </c>
      <c r="C142" s="2" t="str">
        <f t="shared" si="14"/>
        <v>May</v>
      </c>
      <c r="D142" s="2" t="str">
        <f t="shared" si="15"/>
        <v>Peak</v>
      </c>
      <c r="E142" s="2" t="str">
        <f t="shared" si="16"/>
        <v>Wed</v>
      </c>
      <c r="F142" s="8">
        <v>125</v>
      </c>
      <c r="G142" s="8">
        <v>150</v>
      </c>
      <c r="H142" s="9">
        <v>21146.51</v>
      </c>
      <c r="I142" s="10">
        <v>169.96</v>
      </c>
      <c r="J142" s="11">
        <f t="shared" si="17"/>
        <v>0.83333333333333337</v>
      </c>
      <c r="K142" s="10">
        <f t="shared" si="18"/>
        <v>169.17207999999999</v>
      </c>
      <c r="L142" s="10">
        <f t="shared" si="19"/>
        <v>140.97673333333333</v>
      </c>
      <c r="M142" s="5">
        <f t="shared" si="20"/>
        <v>-0.78792000000001394</v>
      </c>
      <c r="N142" s="1"/>
    </row>
    <row r="143" spans="1:14" x14ac:dyDescent="0.35">
      <c r="A143" s="6">
        <v>45799</v>
      </c>
      <c r="B143" s="7" t="s">
        <v>55</v>
      </c>
      <c r="C143" s="2" t="str">
        <f t="shared" si="14"/>
        <v>May</v>
      </c>
      <c r="D143" s="2" t="str">
        <f t="shared" si="15"/>
        <v>Peak</v>
      </c>
      <c r="E143" s="2" t="str">
        <f t="shared" si="16"/>
        <v>Thu</v>
      </c>
      <c r="F143" s="8">
        <v>127</v>
      </c>
      <c r="G143" s="8">
        <v>150</v>
      </c>
      <c r="H143" s="9">
        <v>21147.58</v>
      </c>
      <c r="I143" s="10">
        <v>173.66</v>
      </c>
      <c r="J143" s="11">
        <f t="shared" si="17"/>
        <v>0.84666666666666668</v>
      </c>
      <c r="K143" s="10">
        <f t="shared" si="18"/>
        <v>166.51637795275593</v>
      </c>
      <c r="L143" s="10">
        <f t="shared" si="19"/>
        <v>140.98386666666667</v>
      </c>
      <c r="M143" s="5">
        <f t="shared" si="20"/>
        <v>-7.1436220472440652</v>
      </c>
      <c r="N143" s="1"/>
    </row>
    <row r="144" spans="1:14" x14ac:dyDescent="0.35">
      <c r="A144" s="6">
        <v>45800</v>
      </c>
      <c r="B144" s="7" t="s">
        <v>55</v>
      </c>
      <c r="C144" s="2" t="str">
        <f t="shared" si="14"/>
        <v>May</v>
      </c>
      <c r="D144" s="2" t="str">
        <f t="shared" si="15"/>
        <v>Peak</v>
      </c>
      <c r="E144" s="2" t="str">
        <f t="shared" si="16"/>
        <v>Fri</v>
      </c>
      <c r="F144" s="8">
        <v>131</v>
      </c>
      <c r="G144" s="8">
        <v>150</v>
      </c>
      <c r="H144" s="9">
        <v>24175.13</v>
      </c>
      <c r="I144" s="10">
        <v>181.76</v>
      </c>
      <c r="J144" s="11">
        <f t="shared" si="17"/>
        <v>0.87333333333333329</v>
      </c>
      <c r="K144" s="10">
        <f t="shared" si="18"/>
        <v>184.54297709923665</v>
      </c>
      <c r="L144" s="10">
        <f t="shared" si="19"/>
        <v>161.16753333333335</v>
      </c>
      <c r="M144" s="5">
        <f t="shared" si="20"/>
        <v>2.7829770992366605</v>
      </c>
      <c r="N144" s="1"/>
    </row>
    <row r="145" spans="1:14" x14ac:dyDescent="0.35">
      <c r="A145" s="6">
        <v>45801</v>
      </c>
      <c r="B145" s="7" t="s">
        <v>55</v>
      </c>
      <c r="C145" s="2" t="str">
        <f t="shared" si="14"/>
        <v>May</v>
      </c>
      <c r="D145" s="2" t="str">
        <f t="shared" si="15"/>
        <v>Peak</v>
      </c>
      <c r="E145" s="2" t="str">
        <f t="shared" si="16"/>
        <v>Sat</v>
      </c>
      <c r="F145" s="8">
        <v>135</v>
      </c>
      <c r="G145" s="8">
        <v>150</v>
      </c>
      <c r="H145" s="9">
        <v>26151.27</v>
      </c>
      <c r="I145" s="10">
        <v>180.22</v>
      </c>
      <c r="J145" s="11">
        <f t="shared" si="17"/>
        <v>0.9</v>
      </c>
      <c r="K145" s="10">
        <f t="shared" si="18"/>
        <v>193.71311111111112</v>
      </c>
      <c r="L145" s="10">
        <f t="shared" si="19"/>
        <v>174.34180000000001</v>
      </c>
      <c r="M145" s="5">
        <f t="shared" si="20"/>
        <v>13.493111111111119</v>
      </c>
      <c r="N145" s="1"/>
    </row>
    <row r="146" spans="1:14" x14ac:dyDescent="0.35">
      <c r="A146" s="6">
        <v>45802</v>
      </c>
      <c r="B146" s="7" t="s">
        <v>55</v>
      </c>
      <c r="C146" s="2" t="str">
        <f t="shared" si="14"/>
        <v>May</v>
      </c>
      <c r="D146" s="2" t="str">
        <f t="shared" si="15"/>
        <v>Peak</v>
      </c>
      <c r="E146" s="2" t="str">
        <f t="shared" si="16"/>
        <v>Sun</v>
      </c>
      <c r="F146" s="8">
        <v>123</v>
      </c>
      <c r="G146" s="8">
        <v>150</v>
      </c>
      <c r="H146" s="9">
        <v>20403.43</v>
      </c>
      <c r="I146" s="10">
        <v>163.77000000000001</v>
      </c>
      <c r="J146" s="11">
        <f t="shared" si="17"/>
        <v>0.82</v>
      </c>
      <c r="K146" s="10">
        <f t="shared" si="18"/>
        <v>165.88154471544715</v>
      </c>
      <c r="L146" s="10">
        <f t="shared" si="19"/>
        <v>136.02286666666666</v>
      </c>
      <c r="M146" s="5">
        <f t="shared" si="20"/>
        <v>2.1115447154471383</v>
      </c>
      <c r="N146" s="1"/>
    </row>
    <row r="147" spans="1:14" x14ac:dyDescent="0.35">
      <c r="A147" s="6">
        <v>45803</v>
      </c>
      <c r="B147" s="7" t="s">
        <v>55</v>
      </c>
      <c r="C147" s="2" t="str">
        <f t="shared" si="14"/>
        <v>May</v>
      </c>
      <c r="D147" s="2" t="str">
        <f t="shared" si="15"/>
        <v>Peak</v>
      </c>
      <c r="E147" s="2" t="str">
        <f t="shared" si="16"/>
        <v>Mon</v>
      </c>
      <c r="F147" s="8">
        <v>117</v>
      </c>
      <c r="G147" s="8">
        <v>150</v>
      </c>
      <c r="H147" s="9">
        <v>19247</v>
      </c>
      <c r="I147" s="10">
        <v>169.89</v>
      </c>
      <c r="J147" s="11">
        <f t="shared" si="17"/>
        <v>0.78</v>
      </c>
      <c r="K147" s="10">
        <f t="shared" si="18"/>
        <v>164.5042735042735</v>
      </c>
      <c r="L147" s="10">
        <f t="shared" si="19"/>
        <v>128.31333333333333</v>
      </c>
      <c r="M147" s="5">
        <f t="shared" si="20"/>
        <v>-5.3857264957264874</v>
      </c>
      <c r="N147" s="1"/>
    </row>
    <row r="148" spans="1:14" x14ac:dyDescent="0.35">
      <c r="A148" s="6">
        <v>45804</v>
      </c>
      <c r="B148" s="7" t="s">
        <v>55</v>
      </c>
      <c r="C148" s="2" t="str">
        <f t="shared" si="14"/>
        <v>May</v>
      </c>
      <c r="D148" s="2" t="str">
        <f t="shared" si="15"/>
        <v>Peak</v>
      </c>
      <c r="E148" s="2" t="str">
        <f t="shared" si="16"/>
        <v>Tue</v>
      </c>
      <c r="F148" s="8">
        <v>122</v>
      </c>
      <c r="G148" s="8">
        <v>150</v>
      </c>
      <c r="H148" s="9">
        <v>20809.560000000001</v>
      </c>
      <c r="I148" s="10">
        <v>165.93</v>
      </c>
      <c r="J148" s="11">
        <f t="shared" si="17"/>
        <v>0.81333333333333335</v>
      </c>
      <c r="K148" s="10">
        <f t="shared" si="18"/>
        <v>170.57016393442623</v>
      </c>
      <c r="L148" s="10">
        <f t="shared" si="19"/>
        <v>138.7304</v>
      </c>
      <c r="M148" s="5">
        <f t="shared" si="20"/>
        <v>4.6401639344262264</v>
      </c>
      <c r="N148" s="1"/>
    </row>
    <row r="149" spans="1:14" x14ac:dyDescent="0.35">
      <c r="A149" s="6">
        <v>45805</v>
      </c>
      <c r="B149" s="7" t="s">
        <v>55</v>
      </c>
      <c r="C149" s="2" t="str">
        <f t="shared" si="14"/>
        <v>May</v>
      </c>
      <c r="D149" s="2" t="str">
        <f t="shared" si="15"/>
        <v>Peak</v>
      </c>
      <c r="E149" s="2" t="str">
        <f t="shared" si="16"/>
        <v>Wed</v>
      </c>
      <c r="F149" s="8">
        <v>133</v>
      </c>
      <c r="G149" s="8">
        <v>150</v>
      </c>
      <c r="H149" s="9">
        <v>23032.28</v>
      </c>
      <c r="I149" s="10">
        <v>170</v>
      </c>
      <c r="J149" s="11">
        <f t="shared" si="17"/>
        <v>0.88666666666666671</v>
      </c>
      <c r="K149" s="10">
        <f t="shared" si="18"/>
        <v>173.17503759398497</v>
      </c>
      <c r="L149" s="10">
        <f t="shared" si="19"/>
        <v>153.54853333333332</v>
      </c>
      <c r="M149" s="5">
        <f t="shared" si="20"/>
        <v>3.1750375939849675</v>
      </c>
      <c r="N149" s="1"/>
    </row>
    <row r="150" spans="1:14" x14ac:dyDescent="0.35">
      <c r="A150" s="6">
        <v>45806</v>
      </c>
      <c r="B150" s="7" t="s">
        <v>55</v>
      </c>
      <c r="C150" s="2" t="str">
        <f t="shared" si="14"/>
        <v>May</v>
      </c>
      <c r="D150" s="2" t="str">
        <f t="shared" si="15"/>
        <v>Peak</v>
      </c>
      <c r="E150" s="2" t="str">
        <f t="shared" si="16"/>
        <v>Thu</v>
      </c>
      <c r="F150" s="8">
        <v>131</v>
      </c>
      <c r="G150" s="8">
        <v>150</v>
      </c>
      <c r="H150" s="9">
        <v>23914.880000000001</v>
      </c>
      <c r="I150" s="10">
        <v>176.47</v>
      </c>
      <c r="J150" s="11">
        <f t="shared" si="17"/>
        <v>0.87333333333333329</v>
      </c>
      <c r="K150" s="10">
        <f t="shared" si="18"/>
        <v>182.55633587786261</v>
      </c>
      <c r="L150" s="10">
        <f t="shared" si="19"/>
        <v>159.43253333333334</v>
      </c>
      <c r="M150" s="5">
        <f t="shared" si="20"/>
        <v>6.0863358778626093</v>
      </c>
      <c r="N150" s="1"/>
    </row>
    <row r="151" spans="1:14" x14ac:dyDescent="0.35">
      <c r="A151" s="6">
        <v>45807</v>
      </c>
      <c r="B151" s="7" t="s">
        <v>55</v>
      </c>
      <c r="C151" s="2" t="str">
        <f t="shared" si="14"/>
        <v>May</v>
      </c>
      <c r="D151" s="2" t="str">
        <f t="shared" si="15"/>
        <v>Peak</v>
      </c>
      <c r="E151" s="2" t="str">
        <f t="shared" si="16"/>
        <v>Fri</v>
      </c>
      <c r="F151" s="8">
        <v>132</v>
      </c>
      <c r="G151" s="8">
        <v>150</v>
      </c>
      <c r="H151" s="9">
        <v>22433.84</v>
      </c>
      <c r="I151" s="10">
        <v>178.73</v>
      </c>
      <c r="J151" s="11">
        <f t="shared" si="17"/>
        <v>0.88</v>
      </c>
      <c r="K151" s="10">
        <f t="shared" si="18"/>
        <v>169.95333333333335</v>
      </c>
      <c r="L151" s="10">
        <f t="shared" si="19"/>
        <v>149.55893333333333</v>
      </c>
      <c r="M151" s="5">
        <f t="shared" si="20"/>
        <v>-8.7766666666666424</v>
      </c>
      <c r="N151" s="1"/>
    </row>
    <row r="152" spans="1:14" x14ac:dyDescent="0.35">
      <c r="A152" s="6">
        <v>45808</v>
      </c>
      <c r="B152" s="7" t="s">
        <v>55</v>
      </c>
      <c r="C152" s="2" t="str">
        <f t="shared" si="14"/>
        <v>May</v>
      </c>
      <c r="D152" s="2" t="str">
        <f t="shared" si="15"/>
        <v>Peak</v>
      </c>
      <c r="E152" s="2" t="str">
        <f t="shared" si="16"/>
        <v>Sat</v>
      </c>
      <c r="F152" s="8">
        <v>131</v>
      </c>
      <c r="G152" s="8">
        <v>150</v>
      </c>
      <c r="H152" s="9">
        <v>25339.86</v>
      </c>
      <c r="I152" s="10">
        <v>184.89</v>
      </c>
      <c r="J152" s="11">
        <f t="shared" si="17"/>
        <v>0.87333333333333329</v>
      </c>
      <c r="K152" s="10">
        <f t="shared" si="18"/>
        <v>193.43404580152674</v>
      </c>
      <c r="L152" s="10">
        <f t="shared" si="19"/>
        <v>168.9324</v>
      </c>
      <c r="M152" s="5">
        <f t="shared" si="20"/>
        <v>8.5440458015267495</v>
      </c>
      <c r="N152" s="1"/>
    </row>
    <row r="153" spans="1:14" x14ac:dyDescent="0.35">
      <c r="A153" s="6">
        <v>45809</v>
      </c>
      <c r="B153" s="7" t="s">
        <v>55</v>
      </c>
      <c r="C153" s="2" t="str">
        <f t="shared" si="14"/>
        <v>Jun</v>
      </c>
      <c r="D153" s="2" t="str">
        <f t="shared" si="15"/>
        <v>Peak</v>
      </c>
      <c r="E153" s="2" t="str">
        <f t="shared" si="16"/>
        <v>Sun</v>
      </c>
      <c r="F153" s="8">
        <v>126</v>
      </c>
      <c r="G153" s="8">
        <v>150</v>
      </c>
      <c r="H153" s="9">
        <v>21727.919999999998</v>
      </c>
      <c r="I153" s="10">
        <v>178.32</v>
      </c>
      <c r="J153" s="11">
        <f t="shared" si="17"/>
        <v>0.84</v>
      </c>
      <c r="K153" s="10">
        <f t="shared" si="18"/>
        <v>172.44380952380951</v>
      </c>
      <c r="L153" s="10">
        <f t="shared" si="19"/>
        <v>144.8528</v>
      </c>
      <c r="M153" s="5">
        <f t="shared" si="20"/>
        <v>-5.8761904761904873</v>
      </c>
      <c r="N153" s="1"/>
    </row>
    <row r="154" spans="1:14" x14ac:dyDescent="0.35">
      <c r="A154" s="6">
        <v>45810</v>
      </c>
      <c r="B154" s="7" t="s">
        <v>55</v>
      </c>
      <c r="C154" s="2" t="str">
        <f t="shared" si="14"/>
        <v>Jun</v>
      </c>
      <c r="D154" s="2" t="str">
        <f t="shared" si="15"/>
        <v>Peak</v>
      </c>
      <c r="E154" s="2" t="str">
        <f t="shared" si="16"/>
        <v>Mon</v>
      </c>
      <c r="F154" s="8">
        <v>122</v>
      </c>
      <c r="G154" s="8">
        <v>150</v>
      </c>
      <c r="H154" s="9">
        <v>21948.07</v>
      </c>
      <c r="I154" s="10">
        <v>176.23</v>
      </c>
      <c r="J154" s="11">
        <f t="shared" si="17"/>
        <v>0.81333333333333335</v>
      </c>
      <c r="K154" s="10">
        <f t="shared" si="18"/>
        <v>179.90221311475409</v>
      </c>
      <c r="L154" s="10">
        <f t="shared" si="19"/>
        <v>146.32046666666668</v>
      </c>
      <c r="M154" s="5">
        <f t="shared" si="20"/>
        <v>3.6722131147541006</v>
      </c>
      <c r="N154" s="1"/>
    </row>
    <row r="155" spans="1:14" x14ac:dyDescent="0.35">
      <c r="A155" s="6">
        <v>45811</v>
      </c>
      <c r="B155" s="7" t="s">
        <v>55</v>
      </c>
      <c r="C155" s="2" t="str">
        <f t="shared" si="14"/>
        <v>Jun</v>
      </c>
      <c r="D155" s="2" t="str">
        <f t="shared" si="15"/>
        <v>Peak</v>
      </c>
      <c r="E155" s="2" t="str">
        <f t="shared" si="16"/>
        <v>Tue</v>
      </c>
      <c r="F155" s="8">
        <v>128</v>
      </c>
      <c r="G155" s="8">
        <v>150</v>
      </c>
      <c r="H155" s="9">
        <v>23781.01</v>
      </c>
      <c r="I155" s="10">
        <v>184.34</v>
      </c>
      <c r="J155" s="11">
        <f t="shared" si="17"/>
        <v>0.85333333333333339</v>
      </c>
      <c r="K155" s="10">
        <f t="shared" si="18"/>
        <v>185.78914062499999</v>
      </c>
      <c r="L155" s="10">
        <f t="shared" si="19"/>
        <v>158.54006666666666</v>
      </c>
      <c r="M155" s="5">
        <f t="shared" si="20"/>
        <v>1.4491406249999841</v>
      </c>
      <c r="N155" s="1"/>
    </row>
    <row r="156" spans="1:14" x14ac:dyDescent="0.35">
      <c r="A156" s="6">
        <v>45812</v>
      </c>
      <c r="B156" s="7" t="s">
        <v>55</v>
      </c>
      <c r="C156" s="2" t="str">
        <f t="shared" si="14"/>
        <v>Jun</v>
      </c>
      <c r="D156" s="2" t="str">
        <f t="shared" si="15"/>
        <v>Peak</v>
      </c>
      <c r="E156" s="2" t="str">
        <f t="shared" si="16"/>
        <v>Wed</v>
      </c>
      <c r="F156" s="8">
        <v>125</v>
      </c>
      <c r="G156" s="8">
        <v>150</v>
      </c>
      <c r="H156" s="9">
        <v>24028.23</v>
      </c>
      <c r="I156" s="10">
        <v>183.92</v>
      </c>
      <c r="J156" s="11">
        <f t="shared" si="17"/>
        <v>0.83333333333333337</v>
      </c>
      <c r="K156" s="10">
        <f t="shared" si="18"/>
        <v>192.22584000000001</v>
      </c>
      <c r="L156" s="10">
        <f t="shared" si="19"/>
        <v>160.18819999999999</v>
      </c>
      <c r="M156" s="5">
        <f t="shared" si="20"/>
        <v>8.3058400000000177</v>
      </c>
      <c r="N156" s="1"/>
    </row>
    <row r="157" spans="1:14" x14ac:dyDescent="0.35">
      <c r="A157" s="6">
        <v>45813</v>
      </c>
      <c r="B157" s="7" t="s">
        <v>55</v>
      </c>
      <c r="C157" s="2" t="str">
        <f t="shared" si="14"/>
        <v>Jun</v>
      </c>
      <c r="D157" s="2" t="str">
        <f t="shared" si="15"/>
        <v>Peak</v>
      </c>
      <c r="E157" s="2" t="str">
        <f t="shared" si="16"/>
        <v>Thu</v>
      </c>
      <c r="F157" s="8">
        <v>133</v>
      </c>
      <c r="G157" s="8">
        <v>150</v>
      </c>
      <c r="H157" s="9">
        <v>26219.55</v>
      </c>
      <c r="I157" s="10">
        <v>192.45</v>
      </c>
      <c r="J157" s="11">
        <f t="shared" si="17"/>
        <v>0.88666666666666671</v>
      </c>
      <c r="K157" s="10">
        <f t="shared" si="18"/>
        <v>197.13947368421051</v>
      </c>
      <c r="L157" s="10">
        <f t="shared" si="19"/>
        <v>174.797</v>
      </c>
      <c r="M157" s="5">
        <f t="shared" si="20"/>
        <v>4.689473684210526</v>
      </c>
      <c r="N157" s="1"/>
    </row>
    <row r="158" spans="1:14" x14ac:dyDescent="0.35">
      <c r="A158" s="6">
        <v>45814</v>
      </c>
      <c r="B158" s="7" t="s">
        <v>55</v>
      </c>
      <c r="C158" s="2" t="str">
        <f t="shared" si="14"/>
        <v>Jun</v>
      </c>
      <c r="D158" s="2" t="str">
        <f t="shared" si="15"/>
        <v>Peak</v>
      </c>
      <c r="E158" s="2" t="str">
        <f t="shared" si="16"/>
        <v>Fri</v>
      </c>
      <c r="F158" s="8">
        <v>135</v>
      </c>
      <c r="G158" s="8">
        <v>150</v>
      </c>
      <c r="H158" s="9">
        <v>27754.52</v>
      </c>
      <c r="I158" s="10">
        <v>194.15</v>
      </c>
      <c r="J158" s="11">
        <f t="shared" si="17"/>
        <v>0.9</v>
      </c>
      <c r="K158" s="10">
        <f t="shared" si="18"/>
        <v>205.58903703703703</v>
      </c>
      <c r="L158" s="10">
        <f t="shared" si="19"/>
        <v>185.03013333333334</v>
      </c>
      <c r="M158" s="5">
        <f t="shared" si="20"/>
        <v>11.439037037037025</v>
      </c>
      <c r="N158" s="1"/>
    </row>
    <row r="159" spans="1:14" x14ac:dyDescent="0.35">
      <c r="A159" s="6">
        <v>45815</v>
      </c>
      <c r="B159" s="7" t="s">
        <v>55</v>
      </c>
      <c r="C159" s="2" t="str">
        <f t="shared" si="14"/>
        <v>Jun</v>
      </c>
      <c r="D159" s="2" t="str">
        <f t="shared" si="15"/>
        <v>Peak</v>
      </c>
      <c r="E159" s="2" t="str">
        <f t="shared" si="16"/>
        <v>Sat</v>
      </c>
      <c r="F159" s="8">
        <v>142</v>
      </c>
      <c r="G159" s="8">
        <v>150</v>
      </c>
      <c r="H159" s="9">
        <v>30444.57</v>
      </c>
      <c r="I159" s="10">
        <v>199.54</v>
      </c>
      <c r="J159" s="11">
        <f t="shared" si="17"/>
        <v>0.94666666666666666</v>
      </c>
      <c r="K159" s="10">
        <f t="shared" si="18"/>
        <v>214.39838028169015</v>
      </c>
      <c r="L159" s="10">
        <f t="shared" si="19"/>
        <v>202.96379999999999</v>
      </c>
      <c r="M159" s="5">
        <f t="shared" si="20"/>
        <v>14.85838028169016</v>
      </c>
      <c r="N159" s="1"/>
    </row>
    <row r="160" spans="1:14" x14ac:dyDescent="0.35">
      <c r="A160" s="6">
        <v>45816</v>
      </c>
      <c r="B160" s="7" t="s">
        <v>55</v>
      </c>
      <c r="C160" s="2" t="str">
        <f t="shared" si="14"/>
        <v>Jun</v>
      </c>
      <c r="D160" s="2" t="str">
        <f t="shared" si="15"/>
        <v>Peak</v>
      </c>
      <c r="E160" s="2" t="str">
        <f t="shared" si="16"/>
        <v>Sun</v>
      </c>
      <c r="F160" s="8">
        <v>125</v>
      </c>
      <c r="G160" s="8">
        <v>150</v>
      </c>
      <c r="H160" s="9">
        <v>22541.19</v>
      </c>
      <c r="I160" s="10">
        <v>178.21</v>
      </c>
      <c r="J160" s="11">
        <f t="shared" si="17"/>
        <v>0.83333333333333337</v>
      </c>
      <c r="K160" s="10">
        <f t="shared" si="18"/>
        <v>180.32952</v>
      </c>
      <c r="L160" s="10">
        <f t="shared" si="19"/>
        <v>150.27459999999999</v>
      </c>
      <c r="M160" s="5">
        <f t="shared" si="20"/>
        <v>2.1195199999999943</v>
      </c>
      <c r="N160" s="1"/>
    </row>
    <row r="161" spans="1:14" x14ac:dyDescent="0.35">
      <c r="A161" s="6">
        <v>45817</v>
      </c>
      <c r="B161" s="7" t="s">
        <v>55</v>
      </c>
      <c r="C161" s="2" t="str">
        <f t="shared" si="14"/>
        <v>Jun</v>
      </c>
      <c r="D161" s="2" t="str">
        <f t="shared" si="15"/>
        <v>Peak</v>
      </c>
      <c r="E161" s="2" t="str">
        <f t="shared" si="16"/>
        <v>Mon</v>
      </c>
      <c r="F161" s="8">
        <v>129</v>
      </c>
      <c r="G161" s="8">
        <v>150</v>
      </c>
      <c r="H161" s="9">
        <v>22792.6</v>
      </c>
      <c r="I161" s="10">
        <v>172.78</v>
      </c>
      <c r="J161" s="11">
        <f t="shared" si="17"/>
        <v>0.86</v>
      </c>
      <c r="K161" s="10">
        <f t="shared" si="18"/>
        <v>176.68682170542635</v>
      </c>
      <c r="L161" s="10">
        <f t="shared" si="19"/>
        <v>151.95066666666665</v>
      </c>
      <c r="M161" s="5">
        <f t="shared" si="20"/>
        <v>3.9068217054263528</v>
      </c>
      <c r="N161" s="1"/>
    </row>
    <row r="162" spans="1:14" x14ac:dyDescent="0.35">
      <c r="A162" s="6">
        <v>45818</v>
      </c>
      <c r="B162" s="7" t="s">
        <v>55</v>
      </c>
      <c r="C162" s="2" t="str">
        <f t="shared" si="14"/>
        <v>Jun</v>
      </c>
      <c r="D162" s="2" t="str">
        <f t="shared" si="15"/>
        <v>Peak</v>
      </c>
      <c r="E162" s="2" t="str">
        <f t="shared" si="16"/>
        <v>Tue</v>
      </c>
      <c r="F162" s="8">
        <v>126</v>
      </c>
      <c r="G162" s="8">
        <v>150</v>
      </c>
      <c r="H162" s="9">
        <v>23300.67</v>
      </c>
      <c r="I162" s="10">
        <v>183.01</v>
      </c>
      <c r="J162" s="11">
        <f t="shared" si="17"/>
        <v>0.84</v>
      </c>
      <c r="K162" s="10">
        <f t="shared" si="18"/>
        <v>184.92595238095237</v>
      </c>
      <c r="L162" s="10">
        <f t="shared" si="19"/>
        <v>155.33779999999999</v>
      </c>
      <c r="M162" s="5">
        <f t="shared" si="20"/>
        <v>1.9159523809523762</v>
      </c>
      <c r="N162" s="1"/>
    </row>
    <row r="163" spans="1:14" x14ac:dyDescent="0.35">
      <c r="A163" s="6">
        <v>45819</v>
      </c>
      <c r="B163" s="7" t="s">
        <v>55</v>
      </c>
      <c r="C163" s="2" t="str">
        <f t="shared" si="14"/>
        <v>Jun</v>
      </c>
      <c r="D163" s="2" t="str">
        <f t="shared" si="15"/>
        <v>Peak</v>
      </c>
      <c r="E163" s="2" t="str">
        <f t="shared" si="16"/>
        <v>Wed</v>
      </c>
      <c r="F163" s="8">
        <v>130</v>
      </c>
      <c r="G163" s="8">
        <v>150</v>
      </c>
      <c r="H163" s="9">
        <v>24350.06</v>
      </c>
      <c r="I163" s="10">
        <v>192.9</v>
      </c>
      <c r="J163" s="11">
        <f t="shared" si="17"/>
        <v>0.8666666666666667</v>
      </c>
      <c r="K163" s="10">
        <f t="shared" si="18"/>
        <v>187.30815384615386</v>
      </c>
      <c r="L163" s="10">
        <f t="shared" si="19"/>
        <v>162.33373333333336</v>
      </c>
      <c r="M163" s="5">
        <f t="shared" si="20"/>
        <v>-5.5918461538461486</v>
      </c>
      <c r="N163" s="1"/>
    </row>
    <row r="164" spans="1:14" x14ac:dyDescent="0.35">
      <c r="A164" s="6">
        <v>45820</v>
      </c>
      <c r="B164" s="7" t="s">
        <v>55</v>
      </c>
      <c r="C164" s="2" t="str">
        <f t="shared" si="14"/>
        <v>Jun</v>
      </c>
      <c r="D164" s="2" t="str">
        <f t="shared" si="15"/>
        <v>Peak</v>
      </c>
      <c r="E164" s="2" t="str">
        <f t="shared" si="16"/>
        <v>Thu</v>
      </c>
      <c r="F164" s="8">
        <v>139</v>
      </c>
      <c r="G164" s="8">
        <v>150</v>
      </c>
      <c r="H164" s="9">
        <v>27326.37</v>
      </c>
      <c r="I164" s="10">
        <v>185.3</v>
      </c>
      <c r="J164" s="11">
        <f t="shared" si="17"/>
        <v>0.92666666666666664</v>
      </c>
      <c r="K164" s="10">
        <f t="shared" si="18"/>
        <v>196.59258992805755</v>
      </c>
      <c r="L164" s="10">
        <f t="shared" si="19"/>
        <v>182.17579999999998</v>
      </c>
      <c r="M164" s="5">
        <f t="shared" si="20"/>
        <v>11.292589928057538</v>
      </c>
      <c r="N164" s="1"/>
    </row>
    <row r="165" spans="1:14" x14ac:dyDescent="0.35">
      <c r="A165" s="6">
        <v>45821</v>
      </c>
      <c r="B165" s="7" t="s">
        <v>55</v>
      </c>
      <c r="C165" s="2" t="str">
        <f t="shared" si="14"/>
        <v>Jun</v>
      </c>
      <c r="D165" s="2" t="str">
        <f t="shared" si="15"/>
        <v>Peak</v>
      </c>
      <c r="E165" s="2" t="str">
        <f t="shared" si="16"/>
        <v>Fri</v>
      </c>
      <c r="F165" s="8">
        <v>136</v>
      </c>
      <c r="G165" s="8">
        <v>150</v>
      </c>
      <c r="H165" s="9">
        <v>27227.599999999999</v>
      </c>
      <c r="I165" s="10">
        <v>197.85</v>
      </c>
      <c r="J165" s="11">
        <f t="shared" si="17"/>
        <v>0.90666666666666662</v>
      </c>
      <c r="K165" s="10">
        <f t="shared" si="18"/>
        <v>200.20294117647057</v>
      </c>
      <c r="L165" s="10">
        <f t="shared" si="19"/>
        <v>181.51733333333331</v>
      </c>
      <c r="M165" s="5">
        <f t="shared" si="20"/>
        <v>2.3529411764705799</v>
      </c>
      <c r="N165" s="1"/>
    </row>
    <row r="166" spans="1:14" x14ac:dyDescent="0.35">
      <c r="A166" s="6">
        <v>45822</v>
      </c>
      <c r="B166" s="7" t="s">
        <v>55</v>
      </c>
      <c r="C166" s="2" t="str">
        <f t="shared" si="14"/>
        <v>Jun</v>
      </c>
      <c r="D166" s="2" t="str">
        <f t="shared" si="15"/>
        <v>Peak</v>
      </c>
      <c r="E166" s="2" t="str">
        <f t="shared" si="16"/>
        <v>Sat</v>
      </c>
      <c r="F166" s="8">
        <v>143</v>
      </c>
      <c r="G166" s="8">
        <v>150</v>
      </c>
      <c r="H166" s="9">
        <v>29346.16</v>
      </c>
      <c r="I166" s="10">
        <v>197.47</v>
      </c>
      <c r="J166" s="11">
        <f t="shared" si="17"/>
        <v>0.95333333333333337</v>
      </c>
      <c r="K166" s="10">
        <f t="shared" si="18"/>
        <v>205.21790209790208</v>
      </c>
      <c r="L166" s="10">
        <f t="shared" si="19"/>
        <v>195.64106666666666</v>
      </c>
      <c r="M166" s="5">
        <f t="shared" si="20"/>
        <v>7.7479020979020845</v>
      </c>
      <c r="N166" s="1"/>
    </row>
    <row r="167" spans="1:14" x14ac:dyDescent="0.35">
      <c r="A167" s="6">
        <v>45823</v>
      </c>
      <c r="B167" s="7" t="s">
        <v>55</v>
      </c>
      <c r="C167" s="2" t="str">
        <f t="shared" si="14"/>
        <v>Jun</v>
      </c>
      <c r="D167" s="2" t="str">
        <f t="shared" si="15"/>
        <v>Peak</v>
      </c>
      <c r="E167" s="2" t="str">
        <f t="shared" si="16"/>
        <v>Sun</v>
      </c>
      <c r="F167" s="8">
        <v>126</v>
      </c>
      <c r="G167" s="8">
        <v>150</v>
      </c>
      <c r="H167" s="9">
        <v>22251.49</v>
      </c>
      <c r="I167" s="10">
        <v>174.44</v>
      </c>
      <c r="J167" s="11">
        <f t="shared" si="17"/>
        <v>0.84</v>
      </c>
      <c r="K167" s="10">
        <f t="shared" si="18"/>
        <v>176.599126984127</v>
      </c>
      <c r="L167" s="10">
        <f t="shared" si="19"/>
        <v>148.34326666666666</v>
      </c>
      <c r="M167" s="5">
        <f t="shared" si="20"/>
        <v>2.1591269841269991</v>
      </c>
      <c r="N167" s="1"/>
    </row>
    <row r="168" spans="1:14" x14ac:dyDescent="0.35">
      <c r="A168" s="6">
        <v>45824</v>
      </c>
      <c r="B168" s="7" t="s">
        <v>55</v>
      </c>
      <c r="C168" s="2" t="str">
        <f t="shared" si="14"/>
        <v>Jun</v>
      </c>
      <c r="D168" s="2" t="str">
        <f t="shared" si="15"/>
        <v>Peak</v>
      </c>
      <c r="E168" s="2" t="str">
        <f t="shared" si="16"/>
        <v>Mon</v>
      </c>
      <c r="F168" s="8">
        <v>119</v>
      </c>
      <c r="G168" s="8">
        <v>150</v>
      </c>
      <c r="H168" s="9">
        <v>20549.7</v>
      </c>
      <c r="I168" s="10">
        <v>182.48</v>
      </c>
      <c r="J168" s="11">
        <f t="shared" si="17"/>
        <v>0.79333333333333333</v>
      </c>
      <c r="K168" s="10">
        <f t="shared" si="18"/>
        <v>172.68655462184876</v>
      </c>
      <c r="L168" s="10">
        <f t="shared" si="19"/>
        <v>136.99800000000002</v>
      </c>
      <c r="M168" s="5">
        <f t="shared" si="20"/>
        <v>-9.7934453781512332</v>
      </c>
      <c r="N168" s="1"/>
    </row>
    <row r="169" spans="1:14" x14ac:dyDescent="0.35">
      <c r="A169" s="6">
        <v>45825</v>
      </c>
      <c r="B169" s="7" t="s">
        <v>55</v>
      </c>
      <c r="C169" s="2" t="str">
        <f t="shared" si="14"/>
        <v>Jun</v>
      </c>
      <c r="D169" s="2" t="str">
        <f t="shared" si="15"/>
        <v>Peak</v>
      </c>
      <c r="E169" s="2" t="str">
        <f t="shared" si="16"/>
        <v>Tue</v>
      </c>
      <c r="F169" s="8">
        <v>132</v>
      </c>
      <c r="G169" s="8">
        <v>150</v>
      </c>
      <c r="H169" s="9">
        <v>25242.65</v>
      </c>
      <c r="I169" s="10">
        <v>186.9</v>
      </c>
      <c r="J169" s="11">
        <f t="shared" si="17"/>
        <v>0.88</v>
      </c>
      <c r="K169" s="10">
        <f t="shared" si="18"/>
        <v>191.23219696969699</v>
      </c>
      <c r="L169" s="10">
        <f t="shared" si="19"/>
        <v>168.28433333333334</v>
      </c>
      <c r="M169" s="5">
        <f t="shared" si="20"/>
        <v>4.3321969696969802</v>
      </c>
      <c r="N169" s="1"/>
    </row>
    <row r="170" spans="1:14" x14ac:dyDescent="0.35">
      <c r="A170" s="6">
        <v>45826</v>
      </c>
      <c r="B170" s="7" t="s">
        <v>55</v>
      </c>
      <c r="C170" s="2" t="str">
        <f t="shared" si="14"/>
        <v>Jun</v>
      </c>
      <c r="D170" s="2" t="str">
        <f t="shared" si="15"/>
        <v>Peak</v>
      </c>
      <c r="E170" s="2" t="str">
        <f t="shared" si="16"/>
        <v>Wed</v>
      </c>
      <c r="F170" s="8">
        <v>138</v>
      </c>
      <c r="G170" s="8">
        <v>150</v>
      </c>
      <c r="H170" s="9">
        <v>27177.98</v>
      </c>
      <c r="I170" s="10">
        <v>191.2</v>
      </c>
      <c r="J170" s="11">
        <f t="shared" si="17"/>
        <v>0.92</v>
      </c>
      <c r="K170" s="10">
        <f t="shared" si="18"/>
        <v>196.94188405797101</v>
      </c>
      <c r="L170" s="10">
        <f t="shared" si="19"/>
        <v>181.18653333333333</v>
      </c>
      <c r="M170" s="5">
        <f t="shared" si="20"/>
        <v>5.7418840579710206</v>
      </c>
      <c r="N170" s="1"/>
    </row>
    <row r="171" spans="1:14" x14ac:dyDescent="0.35">
      <c r="A171" s="6">
        <v>45827</v>
      </c>
      <c r="B171" s="7" t="s">
        <v>55</v>
      </c>
      <c r="C171" s="2" t="str">
        <f t="shared" si="14"/>
        <v>Jun</v>
      </c>
      <c r="D171" s="2" t="str">
        <f t="shared" si="15"/>
        <v>Peak</v>
      </c>
      <c r="E171" s="2" t="str">
        <f t="shared" si="16"/>
        <v>Thu</v>
      </c>
      <c r="F171" s="8">
        <v>132</v>
      </c>
      <c r="G171" s="8">
        <v>150</v>
      </c>
      <c r="H171" s="9">
        <v>26351.53</v>
      </c>
      <c r="I171" s="10">
        <v>187.96</v>
      </c>
      <c r="J171" s="11">
        <f t="shared" si="17"/>
        <v>0.88</v>
      </c>
      <c r="K171" s="10">
        <f t="shared" si="18"/>
        <v>199.63280303030302</v>
      </c>
      <c r="L171" s="10">
        <f t="shared" si="19"/>
        <v>175.67686666666665</v>
      </c>
      <c r="M171" s="5">
        <f t="shared" si="20"/>
        <v>11.672803030303015</v>
      </c>
      <c r="N171" s="1"/>
    </row>
    <row r="172" spans="1:14" x14ac:dyDescent="0.35">
      <c r="A172" s="6">
        <v>45828</v>
      </c>
      <c r="B172" s="7" t="s">
        <v>55</v>
      </c>
      <c r="C172" s="2" t="str">
        <f t="shared" si="14"/>
        <v>Jun</v>
      </c>
      <c r="D172" s="2" t="str">
        <f t="shared" si="15"/>
        <v>Peak</v>
      </c>
      <c r="E172" s="2" t="str">
        <f t="shared" si="16"/>
        <v>Fri</v>
      </c>
      <c r="F172" s="8">
        <v>148</v>
      </c>
      <c r="G172" s="8">
        <v>150</v>
      </c>
      <c r="H172" s="9">
        <v>42118.91</v>
      </c>
      <c r="I172" s="10">
        <v>241.97</v>
      </c>
      <c r="J172" s="11">
        <f t="shared" si="17"/>
        <v>0.98666666666666669</v>
      </c>
      <c r="K172" s="10">
        <f t="shared" si="18"/>
        <v>284.58722972972976</v>
      </c>
      <c r="L172" s="10">
        <f t="shared" si="19"/>
        <v>280.79273333333333</v>
      </c>
      <c r="M172" s="5">
        <f t="shared" si="20"/>
        <v>42.617229729729758</v>
      </c>
      <c r="N172" s="1" t="s">
        <v>16</v>
      </c>
    </row>
    <row r="173" spans="1:14" x14ac:dyDescent="0.35">
      <c r="A173" s="6">
        <v>45829</v>
      </c>
      <c r="B173" s="7" t="s">
        <v>55</v>
      </c>
      <c r="C173" s="2" t="str">
        <f t="shared" si="14"/>
        <v>Jun</v>
      </c>
      <c r="D173" s="2" t="str">
        <f t="shared" si="15"/>
        <v>Peak</v>
      </c>
      <c r="E173" s="2" t="str">
        <f t="shared" si="16"/>
        <v>Sat</v>
      </c>
      <c r="F173" s="8">
        <v>148</v>
      </c>
      <c r="G173" s="8">
        <v>150</v>
      </c>
      <c r="H173" s="9">
        <v>40779.06</v>
      </c>
      <c r="I173" s="10">
        <v>245.04</v>
      </c>
      <c r="J173" s="11">
        <f t="shared" si="17"/>
        <v>0.98666666666666669</v>
      </c>
      <c r="K173" s="10">
        <f t="shared" si="18"/>
        <v>275.53418918918919</v>
      </c>
      <c r="L173" s="10">
        <f t="shared" si="19"/>
        <v>271.86039999999997</v>
      </c>
      <c r="M173" s="5">
        <f t="shared" si="20"/>
        <v>30.4941891891892</v>
      </c>
      <c r="N173" s="1" t="s">
        <v>16</v>
      </c>
    </row>
    <row r="174" spans="1:14" x14ac:dyDescent="0.35">
      <c r="A174" s="6">
        <v>45830</v>
      </c>
      <c r="B174" s="7" t="s">
        <v>55</v>
      </c>
      <c r="C174" s="2" t="str">
        <f t="shared" si="14"/>
        <v>Jun</v>
      </c>
      <c r="D174" s="2" t="str">
        <f t="shared" si="15"/>
        <v>Peak</v>
      </c>
      <c r="E174" s="2" t="str">
        <f t="shared" si="16"/>
        <v>Sun</v>
      </c>
      <c r="F174" s="8">
        <v>121</v>
      </c>
      <c r="G174" s="8">
        <v>150</v>
      </c>
      <c r="H174" s="9">
        <v>21910.58</v>
      </c>
      <c r="I174" s="10">
        <v>175.45</v>
      </c>
      <c r="J174" s="11">
        <f t="shared" si="17"/>
        <v>0.80666666666666664</v>
      </c>
      <c r="K174" s="10">
        <f t="shared" si="18"/>
        <v>181.07917355371902</v>
      </c>
      <c r="L174" s="10">
        <f t="shared" si="19"/>
        <v>146.07053333333334</v>
      </c>
      <c r="M174" s="5">
        <f t="shared" si="20"/>
        <v>5.6291735537190277</v>
      </c>
      <c r="N174" s="1"/>
    </row>
    <row r="175" spans="1:14" x14ac:dyDescent="0.35">
      <c r="A175" s="6">
        <v>45831</v>
      </c>
      <c r="B175" s="7" t="s">
        <v>55</v>
      </c>
      <c r="C175" s="2" t="str">
        <f t="shared" si="14"/>
        <v>Jun</v>
      </c>
      <c r="D175" s="2" t="str">
        <f t="shared" si="15"/>
        <v>Peak</v>
      </c>
      <c r="E175" s="2" t="str">
        <f t="shared" si="16"/>
        <v>Mon</v>
      </c>
      <c r="F175" s="8">
        <v>124</v>
      </c>
      <c r="G175" s="8">
        <v>150</v>
      </c>
      <c r="H175" s="9">
        <v>22738.11</v>
      </c>
      <c r="I175" s="10">
        <v>183.73</v>
      </c>
      <c r="J175" s="11">
        <f t="shared" si="17"/>
        <v>0.82666666666666666</v>
      </c>
      <c r="K175" s="10">
        <f t="shared" si="18"/>
        <v>183.37185483870968</v>
      </c>
      <c r="L175" s="10">
        <f t="shared" si="19"/>
        <v>151.5874</v>
      </c>
      <c r="M175" s="5">
        <f t="shared" si="20"/>
        <v>-0.35814516129030949</v>
      </c>
      <c r="N175" s="1"/>
    </row>
    <row r="176" spans="1:14" x14ac:dyDescent="0.35">
      <c r="A176" s="6">
        <v>45832</v>
      </c>
      <c r="B176" s="7" t="s">
        <v>55</v>
      </c>
      <c r="C176" s="2" t="str">
        <f t="shared" si="14"/>
        <v>Jun</v>
      </c>
      <c r="D176" s="2" t="str">
        <f t="shared" si="15"/>
        <v>Peak</v>
      </c>
      <c r="E176" s="2" t="str">
        <f t="shared" si="16"/>
        <v>Tue</v>
      </c>
      <c r="F176" s="8">
        <v>131</v>
      </c>
      <c r="G176" s="8">
        <v>150</v>
      </c>
      <c r="H176" s="9">
        <v>25089.39</v>
      </c>
      <c r="I176" s="10">
        <v>184.48</v>
      </c>
      <c r="J176" s="11">
        <f t="shared" si="17"/>
        <v>0.87333333333333329</v>
      </c>
      <c r="K176" s="10">
        <f t="shared" si="18"/>
        <v>191.5220610687023</v>
      </c>
      <c r="L176" s="10">
        <f t="shared" si="19"/>
        <v>167.26259999999999</v>
      </c>
      <c r="M176" s="5">
        <f t="shared" si="20"/>
        <v>7.04206106870231</v>
      </c>
      <c r="N176" s="1"/>
    </row>
    <row r="177" spans="1:14" x14ac:dyDescent="0.35">
      <c r="A177" s="6">
        <v>45833</v>
      </c>
      <c r="B177" s="7" t="s">
        <v>55</v>
      </c>
      <c r="C177" s="2" t="str">
        <f t="shared" si="14"/>
        <v>Jun</v>
      </c>
      <c r="D177" s="2" t="str">
        <f t="shared" si="15"/>
        <v>Peak</v>
      </c>
      <c r="E177" s="2" t="str">
        <f t="shared" si="16"/>
        <v>Wed</v>
      </c>
      <c r="F177" s="8">
        <v>134</v>
      </c>
      <c r="G177" s="8">
        <v>150</v>
      </c>
      <c r="H177" s="9">
        <v>24737.29</v>
      </c>
      <c r="I177" s="10">
        <v>185.68</v>
      </c>
      <c r="J177" s="11">
        <f t="shared" si="17"/>
        <v>0.89333333333333331</v>
      </c>
      <c r="K177" s="10">
        <f t="shared" si="18"/>
        <v>184.60664179104478</v>
      </c>
      <c r="L177" s="10">
        <f t="shared" si="19"/>
        <v>164.91526666666667</v>
      </c>
      <c r="M177" s="5">
        <f t="shared" si="20"/>
        <v>-1.0733582089552272</v>
      </c>
      <c r="N177" s="1"/>
    </row>
    <row r="178" spans="1:14" x14ac:dyDescent="0.35">
      <c r="A178" s="6">
        <v>45834</v>
      </c>
      <c r="B178" s="7" t="s">
        <v>55</v>
      </c>
      <c r="C178" s="2" t="str">
        <f t="shared" si="14"/>
        <v>Jun</v>
      </c>
      <c r="D178" s="2" t="str">
        <f t="shared" si="15"/>
        <v>Peak</v>
      </c>
      <c r="E178" s="2" t="str">
        <f t="shared" si="16"/>
        <v>Thu</v>
      </c>
      <c r="F178" s="8">
        <v>140</v>
      </c>
      <c r="G178" s="8">
        <v>150</v>
      </c>
      <c r="H178" s="9">
        <v>27225.84</v>
      </c>
      <c r="I178" s="10">
        <v>189.06</v>
      </c>
      <c r="J178" s="11">
        <f t="shared" si="17"/>
        <v>0.93333333333333335</v>
      </c>
      <c r="K178" s="10">
        <f t="shared" si="18"/>
        <v>194.47028571428572</v>
      </c>
      <c r="L178" s="10">
        <f t="shared" si="19"/>
        <v>181.50559999999999</v>
      </c>
      <c r="M178" s="5">
        <f t="shared" si="20"/>
        <v>5.4102857142857204</v>
      </c>
      <c r="N178" s="1"/>
    </row>
    <row r="179" spans="1:14" x14ac:dyDescent="0.35">
      <c r="A179" s="6">
        <v>45835</v>
      </c>
      <c r="B179" s="7" t="s">
        <v>55</v>
      </c>
      <c r="C179" s="2" t="str">
        <f t="shared" si="14"/>
        <v>Jun</v>
      </c>
      <c r="D179" s="2" t="str">
        <f t="shared" si="15"/>
        <v>Peak</v>
      </c>
      <c r="E179" s="2" t="str">
        <f t="shared" si="16"/>
        <v>Fri</v>
      </c>
      <c r="F179" s="8">
        <v>137</v>
      </c>
      <c r="G179" s="8">
        <v>150</v>
      </c>
      <c r="H179" s="9">
        <v>27456.37</v>
      </c>
      <c r="I179" s="10">
        <v>196.32</v>
      </c>
      <c r="J179" s="11">
        <f t="shared" si="17"/>
        <v>0.91333333333333333</v>
      </c>
      <c r="K179" s="10">
        <f t="shared" si="18"/>
        <v>200.41145985401459</v>
      </c>
      <c r="L179" s="10">
        <f t="shared" si="19"/>
        <v>183.04246666666666</v>
      </c>
      <c r="M179" s="5">
        <f t="shared" si="20"/>
        <v>4.0914598540146017</v>
      </c>
      <c r="N179" s="1"/>
    </row>
    <row r="180" spans="1:14" x14ac:dyDescent="0.35">
      <c r="A180" s="6">
        <v>45836</v>
      </c>
      <c r="B180" s="7" t="s">
        <v>55</v>
      </c>
      <c r="C180" s="2" t="str">
        <f t="shared" si="14"/>
        <v>Jun</v>
      </c>
      <c r="D180" s="2" t="str">
        <f t="shared" si="15"/>
        <v>Peak</v>
      </c>
      <c r="E180" s="2" t="str">
        <f t="shared" si="16"/>
        <v>Sat</v>
      </c>
      <c r="F180" s="8">
        <v>143</v>
      </c>
      <c r="G180" s="8">
        <v>150</v>
      </c>
      <c r="H180" s="9">
        <v>29352.37</v>
      </c>
      <c r="I180" s="10">
        <v>200.26</v>
      </c>
      <c r="J180" s="11">
        <f t="shared" si="17"/>
        <v>0.95333333333333337</v>
      </c>
      <c r="K180" s="10">
        <f t="shared" si="18"/>
        <v>205.26132867132867</v>
      </c>
      <c r="L180" s="10">
        <f t="shared" si="19"/>
        <v>195.68246666666667</v>
      </c>
      <c r="M180" s="5">
        <f t="shared" si="20"/>
        <v>5.0013286713286789</v>
      </c>
      <c r="N180" s="1"/>
    </row>
    <row r="181" spans="1:14" x14ac:dyDescent="0.35">
      <c r="A181" s="6">
        <v>45837</v>
      </c>
      <c r="B181" s="7" t="s">
        <v>55</v>
      </c>
      <c r="C181" s="2" t="str">
        <f t="shared" si="14"/>
        <v>Jun</v>
      </c>
      <c r="D181" s="2" t="str">
        <f t="shared" si="15"/>
        <v>Peak</v>
      </c>
      <c r="E181" s="2" t="str">
        <f t="shared" si="16"/>
        <v>Sun</v>
      </c>
      <c r="F181" s="8">
        <v>116</v>
      </c>
      <c r="G181" s="8">
        <v>150</v>
      </c>
      <c r="H181" s="9">
        <v>20269.939999999999</v>
      </c>
      <c r="I181" s="10">
        <v>178.75</v>
      </c>
      <c r="J181" s="11">
        <f t="shared" si="17"/>
        <v>0.77333333333333332</v>
      </c>
      <c r="K181" s="10">
        <f t="shared" si="18"/>
        <v>174.7408620689655</v>
      </c>
      <c r="L181" s="10">
        <f t="shared" si="19"/>
        <v>135.13293333333331</v>
      </c>
      <c r="M181" s="5">
        <f t="shared" si="20"/>
        <v>-4.0091379310345019</v>
      </c>
      <c r="N181" s="1"/>
    </row>
    <row r="182" spans="1:14" x14ac:dyDescent="0.35">
      <c r="A182" s="6">
        <v>45838</v>
      </c>
      <c r="B182" s="7" t="s">
        <v>55</v>
      </c>
      <c r="C182" s="2" t="str">
        <f t="shared" si="14"/>
        <v>Jun</v>
      </c>
      <c r="D182" s="2" t="str">
        <f t="shared" si="15"/>
        <v>Peak</v>
      </c>
      <c r="E182" s="2" t="str">
        <f t="shared" si="16"/>
        <v>Mon</v>
      </c>
      <c r="F182" s="8">
        <v>122</v>
      </c>
      <c r="G182" s="8">
        <v>150</v>
      </c>
      <c r="H182" s="9">
        <v>21712.75</v>
      </c>
      <c r="I182" s="10">
        <v>181.89</v>
      </c>
      <c r="J182" s="11">
        <f t="shared" si="17"/>
        <v>0.81333333333333335</v>
      </c>
      <c r="K182" s="10">
        <f t="shared" si="18"/>
        <v>177.97336065573771</v>
      </c>
      <c r="L182" s="10">
        <f t="shared" si="19"/>
        <v>144.75166666666667</v>
      </c>
      <c r="M182" s="5">
        <f t="shared" si="20"/>
        <v>-3.9166393442622791</v>
      </c>
      <c r="N182" s="1"/>
    </row>
    <row r="183" spans="1:14" x14ac:dyDescent="0.35">
      <c r="A183" s="6">
        <v>45839</v>
      </c>
      <c r="B183" s="7" t="s">
        <v>55</v>
      </c>
      <c r="C183" s="2" t="str">
        <f t="shared" si="14"/>
        <v>Jul</v>
      </c>
      <c r="D183" s="2" t="str">
        <f t="shared" si="15"/>
        <v>Peak</v>
      </c>
      <c r="E183" s="2" t="str">
        <f t="shared" si="16"/>
        <v>Tue</v>
      </c>
      <c r="F183" s="8">
        <v>139</v>
      </c>
      <c r="G183" s="8">
        <v>150</v>
      </c>
      <c r="H183" s="9">
        <v>27506.2</v>
      </c>
      <c r="I183" s="10">
        <v>194.74</v>
      </c>
      <c r="J183" s="11">
        <f t="shared" si="17"/>
        <v>0.92666666666666664</v>
      </c>
      <c r="K183" s="10">
        <f t="shared" si="18"/>
        <v>197.88633093525181</v>
      </c>
      <c r="L183" s="10">
        <f t="shared" si="19"/>
        <v>183.37466666666668</v>
      </c>
      <c r="M183" s="5">
        <f t="shared" si="20"/>
        <v>3.1463309352517967</v>
      </c>
      <c r="N183" s="1"/>
    </row>
    <row r="184" spans="1:14" x14ac:dyDescent="0.35">
      <c r="A184" s="6">
        <v>45840</v>
      </c>
      <c r="B184" s="7" t="s">
        <v>55</v>
      </c>
      <c r="C184" s="2" t="str">
        <f t="shared" si="14"/>
        <v>Jul</v>
      </c>
      <c r="D184" s="2" t="str">
        <f t="shared" si="15"/>
        <v>Peak</v>
      </c>
      <c r="E184" s="2" t="str">
        <f t="shared" si="16"/>
        <v>Wed</v>
      </c>
      <c r="F184" s="8">
        <v>138</v>
      </c>
      <c r="G184" s="8">
        <v>150</v>
      </c>
      <c r="H184" s="9">
        <v>29176.82</v>
      </c>
      <c r="I184" s="10">
        <v>201.32</v>
      </c>
      <c r="J184" s="11">
        <f t="shared" si="17"/>
        <v>0.92</v>
      </c>
      <c r="K184" s="10">
        <f t="shared" si="18"/>
        <v>211.42623188405796</v>
      </c>
      <c r="L184" s="10">
        <f t="shared" si="19"/>
        <v>194.51213333333334</v>
      </c>
      <c r="M184" s="5">
        <f t="shared" si="20"/>
        <v>10.106231884057962</v>
      </c>
      <c r="N184" s="1"/>
    </row>
    <row r="185" spans="1:14" x14ac:dyDescent="0.35">
      <c r="A185" s="6">
        <v>45841</v>
      </c>
      <c r="B185" s="7" t="s">
        <v>55</v>
      </c>
      <c r="C185" s="2" t="str">
        <f t="shared" si="14"/>
        <v>Jul</v>
      </c>
      <c r="D185" s="2" t="str">
        <f t="shared" si="15"/>
        <v>Peak</v>
      </c>
      <c r="E185" s="2" t="str">
        <f t="shared" si="16"/>
        <v>Thu</v>
      </c>
      <c r="F185" s="8">
        <v>142</v>
      </c>
      <c r="G185" s="8">
        <v>150</v>
      </c>
      <c r="H185" s="9">
        <v>29725.79</v>
      </c>
      <c r="I185" s="10">
        <v>199.8</v>
      </c>
      <c r="J185" s="11">
        <f t="shared" si="17"/>
        <v>0.94666666666666666</v>
      </c>
      <c r="K185" s="10">
        <f t="shared" si="18"/>
        <v>209.33654929577466</v>
      </c>
      <c r="L185" s="10">
        <f t="shared" si="19"/>
        <v>198.17193333333333</v>
      </c>
      <c r="M185" s="5">
        <f t="shared" si="20"/>
        <v>9.5365492957746483</v>
      </c>
      <c r="N185" s="1"/>
    </row>
    <row r="186" spans="1:14" x14ac:dyDescent="0.35">
      <c r="A186" s="6">
        <v>45842</v>
      </c>
      <c r="B186" s="7" t="s">
        <v>55</v>
      </c>
      <c r="C186" s="2" t="str">
        <f t="shared" si="14"/>
        <v>Jul</v>
      </c>
      <c r="D186" s="2" t="str">
        <f t="shared" si="15"/>
        <v>Peak</v>
      </c>
      <c r="E186" s="2" t="str">
        <f t="shared" si="16"/>
        <v>Fri</v>
      </c>
      <c r="F186" s="8">
        <v>148</v>
      </c>
      <c r="G186" s="8">
        <v>150</v>
      </c>
      <c r="H186" s="9">
        <v>42278.61</v>
      </c>
      <c r="I186" s="10">
        <v>255.92</v>
      </c>
      <c r="J186" s="11">
        <f t="shared" si="17"/>
        <v>0.98666666666666669</v>
      </c>
      <c r="K186" s="10">
        <f t="shared" si="18"/>
        <v>285.6662837837838</v>
      </c>
      <c r="L186" s="10">
        <f t="shared" si="19"/>
        <v>281.85739999999998</v>
      </c>
      <c r="M186" s="5">
        <f t="shared" si="20"/>
        <v>29.746283783783809</v>
      </c>
      <c r="N186" s="1" t="s">
        <v>16</v>
      </c>
    </row>
    <row r="187" spans="1:14" x14ac:dyDescent="0.35">
      <c r="A187" s="6">
        <v>45843</v>
      </c>
      <c r="B187" s="7" t="s">
        <v>55</v>
      </c>
      <c r="C187" s="2" t="str">
        <f t="shared" si="14"/>
        <v>Jul</v>
      </c>
      <c r="D187" s="2" t="str">
        <f t="shared" si="15"/>
        <v>Peak</v>
      </c>
      <c r="E187" s="2" t="str">
        <f t="shared" si="16"/>
        <v>Sat</v>
      </c>
      <c r="F187" s="8">
        <v>148</v>
      </c>
      <c r="G187" s="8">
        <v>150</v>
      </c>
      <c r="H187" s="9">
        <v>41581.26</v>
      </c>
      <c r="I187" s="10">
        <v>260.55</v>
      </c>
      <c r="J187" s="11">
        <f t="shared" si="17"/>
        <v>0.98666666666666669</v>
      </c>
      <c r="K187" s="10">
        <f t="shared" si="18"/>
        <v>280.95445945945949</v>
      </c>
      <c r="L187" s="10">
        <f t="shared" si="19"/>
        <v>277.20840000000004</v>
      </c>
      <c r="M187" s="5">
        <f t="shared" si="20"/>
        <v>20.404459459459474</v>
      </c>
      <c r="N187" s="1" t="s">
        <v>16</v>
      </c>
    </row>
    <row r="188" spans="1:14" x14ac:dyDescent="0.35">
      <c r="A188" s="6">
        <v>45844</v>
      </c>
      <c r="B188" s="7" t="s">
        <v>55</v>
      </c>
      <c r="C188" s="2" t="str">
        <f t="shared" si="14"/>
        <v>Jul</v>
      </c>
      <c r="D188" s="2" t="str">
        <f t="shared" si="15"/>
        <v>Peak</v>
      </c>
      <c r="E188" s="2" t="str">
        <f t="shared" si="16"/>
        <v>Sun</v>
      </c>
      <c r="F188" s="8">
        <v>130</v>
      </c>
      <c r="G188" s="8">
        <v>150</v>
      </c>
      <c r="H188" s="9">
        <v>25413.19</v>
      </c>
      <c r="I188" s="10">
        <v>193.6</v>
      </c>
      <c r="J188" s="11">
        <f t="shared" si="17"/>
        <v>0.8666666666666667</v>
      </c>
      <c r="K188" s="10">
        <f t="shared" si="18"/>
        <v>195.48607692307692</v>
      </c>
      <c r="L188" s="10">
        <f t="shared" si="19"/>
        <v>169.42126666666667</v>
      </c>
      <c r="M188" s="5">
        <f t="shared" si="20"/>
        <v>1.8860769230769279</v>
      </c>
      <c r="N188" s="1"/>
    </row>
    <row r="189" spans="1:14" x14ac:dyDescent="0.35">
      <c r="A189" s="6">
        <v>45845</v>
      </c>
      <c r="B189" s="7" t="s">
        <v>55</v>
      </c>
      <c r="C189" s="2" t="str">
        <f t="shared" si="14"/>
        <v>Jul</v>
      </c>
      <c r="D189" s="2" t="str">
        <f t="shared" si="15"/>
        <v>Peak</v>
      </c>
      <c r="E189" s="2" t="str">
        <f t="shared" si="16"/>
        <v>Mon</v>
      </c>
      <c r="F189" s="8">
        <v>130</v>
      </c>
      <c r="G189" s="8">
        <v>150</v>
      </c>
      <c r="H189" s="9">
        <v>25857.4</v>
      </c>
      <c r="I189" s="10">
        <v>191.47</v>
      </c>
      <c r="J189" s="11">
        <f t="shared" si="17"/>
        <v>0.8666666666666667</v>
      </c>
      <c r="K189" s="10">
        <f t="shared" si="18"/>
        <v>198.90307692307692</v>
      </c>
      <c r="L189" s="10">
        <f t="shared" si="19"/>
        <v>172.38266666666667</v>
      </c>
      <c r="M189" s="5">
        <f t="shared" si="20"/>
        <v>7.4330769230769249</v>
      </c>
      <c r="N189" s="1"/>
    </row>
    <row r="190" spans="1:14" x14ac:dyDescent="0.35">
      <c r="A190" s="6">
        <v>45846</v>
      </c>
      <c r="B190" s="7" t="s">
        <v>55</v>
      </c>
      <c r="C190" s="2" t="str">
        <f t="shared" si="14"/>
        <v>Jul</v>
      </c>
      <c r="D190" s="2" t="str">
        <f t="shared" si="15"/>
        <v>Peak</v>
      </c>
      <c r="E190" s="2" t="str">
        <f t="shared" si="16"/>
        <v>Tue</v>
      </c>
      <c r="F190" s="8">
        <v>135</v>
      </c>
      <c r="G190" s="8">
        <v>150</v>
      </c>
      <c r="H190" s="9">
        <v>27761.41</v>
      </c>
      <c r="I190" s="10">
        <v>197.64</v>
      </c>
      <c r="J190" s="11">
        <f t="shared" si="17"/>
        <v>0.9</v>
      </c>
      <c r="K190" s="10">
        <f t="shared" si="18"/>
        <v>205.64007407407408</v>
      </c>
      <c r="L190" s="10">
        <f t="shared" si="19"/>
        <v>185.07606666666666</v>
      </c>
      <c r="M190" s="5">
        <f t="shared" si="20"/>
        <v>8.0000740740740923</v>
      </c>
      <c r="N190" s="1"/>
    </row>
    <row r="191" spans="1:14" x14ac:dyDescent="0.35">
      <c r="A191" s="6">
        <v>45847</v>
      </c>
      <c r="B191" s="7" t="s">
        <v>55</v>
      </c>
      <c r="C191" s="2" t="str">
        <f t="shared" si="14"/>
        <v>Jul</v>
      </c>
      <c r="D191" s="2" t="str">
        <f t="shared" si="15"/>
        <v>Peak</v>
      </c>
      <c r="E191" s="2" t="str">
        <f t="shared" si="16"/>
        <v>Wed</v>
      </c>
      <c r="F191" s="8">
        <v>124</v>
      </c>
      <c r="G191" s="8">
        <v>150</v>
      </c>
      <c r="H191" s="9">
        <v>27147.279999999999</v>
      </c>
      <c r="I191" s="10">
        <v>196.94</v>
      </c>
      <c r="J191" s="11">
        <f t="shared" si="17"/>
        <v>0.82666666666666666</v>
      </c>
      <c r="K191" s="10">
        <f t="shared" si="18"/>
        <v>218.92967741935482</v>
      </c>
      <c r="L191" s="10">
        <f t="shared" si="19"/>
        <v>180.98186666666666</v>
      </c>
      <c r="M191" s="5">
        <f t="shared" si="20"/>
        <v>21.98967741935482</v>
      </c>
      <c r="N191" s="1"/>
    </row>
    <row r="192" spans="1:14" x14ac:dyDescent="0.35">
      <c r="A192" s="6">
        <v>45848</v>
      </c>
      <c r="B192" s="7" t="s">
        <v>55</v>
      </c>
      <c r="C192" s="2" t="str">
        <f t="shared" si="14"/>
        <v>Jul</v>
      </c>
      <c r="D192" s="2" t="str">
        <f t="shared" si="15"/>
        <v>Peak</v>
      </c>
      <c r="E192" s="2" t="str">
        <f t="shared" si="16"/>
        <v>Thu</v>
      </c>
      <c r="F192" s="8">
        <v>136</v>
      </c>
      <c r="G192" s="8">
        <v>150</v>
      </c>
      <c r="H192" s="9">
        <v>29940.69</v>
      </c>
      <c r="I192" s="10">
        <v>204.27</v>
      </c>
      <c r="J192" s="11">
        <f t="shared" si="17"/>
        <v>0.90666666666666662</v>
      </c>
      <c r="K192" s="10">
        <f t="shared" si="18"/>
        <v>220.15213235294118</v>
      </c>
      <c r="L192" s="10">
        <f t="shared" si="19"/>
        <v>199.6046</v>
      </c>
      <c r="M192" s="5">
        <f t="shared" si="20"/>
        <v>15.88213235294117</v>
      </c>
      <c r="N192" s="1"/>
    </row>
    <row r="193" spans="1:14" x14ac:dyDescent="0.35">
      <c r="A193" s="6">
        <v>45849</v>
      </c>
      <c r="B193" s="7" t="s">
        <v>55</v>
      </c>
      <c r="C193" s="2" t="str">
        <f t="shared" si="14"/>
        <v>Jul</v>
      </c>
      <c r="D193" s="2" t="str">
        <f t="shared" si="15"/>
        <v>Peak</v>
      </c>
      <c r="E193" s="2" t="str">
        <f t="shared" si="16"/>
        <v>Fri</v>
      </c>
      <c r="F193" s="8">
        <v>148</v>
      </c>
      <c r="G193" s="8">
        <v>150</v>
      </c>
      <c r="H193" s="9">
        <v>43439.51</v>
      </c>
      <c r="I193" s="10">
        <v>262.79000000000002</v>
      </c>
      <c r="J193" s="11">
        <f t="shared" si="17"/>
        <v>0.98666666666666669</v>
      </c>
      <c r="K193" s="10">
        <f t="shared" si="18"/>
        <v>293.51020270270271</v>
      </c>
      <c r="L193" s="10">
        <f t="shared" si="19"/>
        <v>289.59673333333336</v>
      </c>
      <c r="M193" s="5">
        <f t="shared" si="20"/>
        <v>30.720202702702693</v>
      </c>
      <c r="N193" s="1" t="s">
        <v>16</v>
      </c>
    </row>
    <row r="194" spans="1:14" x14ac:dyDescent="0.35">
      <c r="A194" s="6">
        <v>45850</v>
      </c>
      <c r="B194" s="7" t="s">
        <v>55</v>
      </c>
      <c r="C194" s="2" t="str">
        <f t="shared" ref="C194:C257" si="21">CHOOSE(MONTH(A194),"Jan","Feb","Mar","Apr","May","Jun","Jul","Aug","Sep","Oct","Nov","Dec")</f>
        <v>Jul</v>
      </c>
      <c r="D194" s="2" t="str">
        <f t="shared" ref="D194:D257" si="22">IF(AND(MONTH(A194)&gt;=5,MONTH(A194)&lt;=9),"Peak","Off-Peak")</f>
        <v>Peak</v>
      </c>
      <c r="E194" s="2" t="str">
        <f t="shared" ref="E194:E257" si="23">CHOOSE(WEEKDAY(A194,2),"Mon","Tue","Wed","Thu","Fri","Sat","Sun")</f>
        <v>Sat</v>
      </c>
      <c r="F194" s="8">
        <v>148</v>
      </c>
      <c r="G194" s="8">
        <v>150</v>
      </c>
      <c r="H194" s="9">
        <v>45274.57</v>
      </c>
      <c r="I194" s="10">
        <v>262.36</v>
      </c>
      <c r="J194" s="11">
        <f t="shared" ref="J194:J257" si="24">IF(G194=0,0,F194/G194)</f>
        <v>0.98666666666666669</v>
      </c>
      <c r="K194" s="10">
        <f t="shared" ref="K194:K257" si="25">IF(F194=0,0,H194/F194)</f>
        <v>305.90925675675675</v>
      </c>
      <c r="L194" s="10">
        <f t="shared" ref="L194:L257" si="26">IF(G194=0,0,H194/G194)</f>
        <v>301.83046666666667</v>
      </c>
      <c r="M194" s="5">
        <f t="shared" ref="M194:M257" si="27">K194-I194</f>
        <v>43.549256756756733</v>
      </c>
      <c r="N194" s="1" t="s">
        <v>16</v>
      </c>
    </row>
    <row r="195" spans="1:14" x14ac:dyDescent="0.35">
      <c r="A195" s="6">
        <v>45851</v>
      </c>
      <c r="B195" s="7" t="s">
        <v>55</v>
      </c>
      <c r="C195" s="2" t="str">
        <f t="shared" si="21"/>
        <v>Jul</v>
      </c>
      <c r="D195" s="2" t="str">
        <f t="shared" si="22"/>
        <v>Peak</v>
      </c>
      <c r="E195" s="2" t="str">
        <f t="shared" si="23"/>
        <v>Sun</v>
      </c>
      <c r="F195" s="8">
        <v>122</v>
      </c>
      <c r="G195" s="8">
        <v>150</v>
      </c>
      <c r="H195" s="9">
        <v>23849.86</v>
      </c>
      <c r="I195" s="10">
        <v>185.11</v>
      </c>
      <c r="J195" s="11">
        <f t="shared" si="24"/>
        <v>0.81333333333333335</v>
      </c>
      <c r="K195" s="10">
        <f t="shared" si="25"/>
        <v>195.49065573770491</v>
      </c>
      <c r="L195" s="10">
        <f t="shared" si="26"/>
        <v>158.99906666666666</v>
      </c>
      <c r="M195" s="5">
        <f t="shared" si="27"/>
        <v>10.380655737704899</v>
      </c>
      <c r="N195" s="1"/>
    </row>
    <row r="196" spans="1:14" x14ac:dyDescent="0.35">
      <c r="A196" s="6">
        <v>45852</v>
      </c>
      <c r="B196" s="7" t="s">
        <v>55</v>
      </c>
      <c r="C196" s="2" t="str">
        <f t="shared" si="21"/>
        <v>Jul</v>
      </c>
      <c r="D196" s="2" t="str">
        <f t="shared" si="22"/>
        <v>Peak</v>
      </c>
      <c r="E196" s="2" t="str">
        <f t="shared" si="23"/>
        <v>Mon</v>
      </c>
      <c r="F196" s="8">
        <v>129</v>
      </c>
      <c r="G196" s="8">
        <v>150</v>
      </c>
      <c r="H196" s="9">
        <v>25338.5</v>
      </c>
      <c r="I196" s="10">
        <v>194.88</v>
      </c>
      <c r="J196" s="11">
        <f t="shared" si="24"/>
        <v>0.86</v>
      </c>
      <c r="K196" s="10">
        <f t="shared" si="25"/>
        <v>196.42248062015503</v>
      </c>
      <c r="L196" s="10">
        <f t="shared" si="26"/>
        <v>168.92333333333335</v>
      </c>
      <c r="M196" s="5">
        <f t="shared" si="27"/>
        <v>1.5424806201550325</v>
      </c>
      <c r="N196" s="1"/>
    </row>
    <row r="197" spans="1:14" x14ac:dyDescent="0.35">
      <c r="A197" s="6">
        <v>45853</v>
      </c>
      <c r="B197" s="7" t="s">
        <v>55</v>
      </c>
      <c r="C197" s="2" t="str">
        <f t="shared" si="21"/>
        <v>Jul</v>
      </c>
      <c r="D197" s="2" t="str">
        <f t="shared" si="22"/>
        <v>Peak</v>
      </c>
      <c r="E197" s="2" t="str">
        <f t="shared" si="23"/>
        <v>Tue</v>
      </c>
      <c r="F197" s="8">
        <v>136</v>
      </c>
      <c r="G197" s="8">
        <v>150</v>
      </c>
      <c r="H197" s="9">
        <v>28750.78</v>
      </c>
      <c r="I197" s="10">
        <v>200.11</v>
      </c>
      <c r="J197" s="11">
        <f t="shared" si="24"/>
        <v>0.90666666666666662</v>
      </c>
      <c r="K197" s="10">
        <f t="shared" si="25"/>
        <v>211.40279411764706</v>
      </c>
      <c r="L197" s="10">
        <f t="shared" si="26"/>
        <v>191.67186666666666</v>
      </c>
      <c r="M197" s="5">
        <f t="shared" si="27"/>
        <v>11.292794117647048</v>
      </c>
      <c r="N197" s="1"/>
    </row>
    <row r="198" spans="1:14" x14ac:dyDescent="0.35">
      <c r="A198" s="6">
        <v>45854</v>
      </c>
      <c r="B198" s="7" t="s">
        <v>55</v>
      </c>
      <c r="C198" s="2" t="str">
        <f t="shared" si="21"/>
        <v>Jul</v>
      </c>
      <c r="D198" s="2" t="str">
        <f t="shared" si="22"/>
        <v>Peak</v>
      </c>
      <c r="E198" s="2" t="str">
        <f t="shared" si="23"/>
        <v>Wed</v>
      </c>
      <c r="F198" s="8">
        <v>140</v>
      </c>
      <c r="G198" s="8">
        <v>150</v>
      </c>
      <c r="H198" s="9">
        <v>28271.16</v>
      </c>
      <c r="I198" s="10">
        <v>195.41</v>
      </c>
      <c r="J198" s="11">
        <f t="shared" si="24"/>
        <v>0.93333333333333335</v>
      </c>
      <c r="K198" s="10">
        <f t="shared" si="25"/>
        <v>201.93685714285715</v>
      </c>
      <c r="L198" s="10">
        <f t="shared" si="26"/>
        <v>188.4744</v>
      </c>
      <c r="M198" s="5">
        <f t="shared" si="27"/>
        <v>6.5268571428571533</v>
      </c>
      <c r="N198" s="1"/>
    </row>
    <row r="199" spans="1:14" x14ac:dyDescent="0.35">
      <c r="A199" s="6">
        <v>45855</v>
      </c>
      <c r="B199" s="7" t="s">
        <v>55</v>
      </c>
      <c r="C199" s="2" t="str">
        <f t="shared" si="21"/>
        <v>Jul</v>
      </c>
      <c r="D199" s="2" t="str">
        <f t="shared" si="22"/>
        <v>Peak</v>
      </c>
      <c r="E199" s="2" t="str">
        <f t="shared" si="23"/>
        <v>Thu</v>
      </c>
      <c r="F199" s="8">
        <v>144</v>
      </c>
      <c r="G199" s="8">
        <v>150</v>
      </c>
      <c r="H199" s="9">
        <v>30417.05</v>
      </c>
      <c r="I199" s="10">
        <v>202.71</v>
      </c>
      <c r="J199" s="11">
        <f t="shared" si="24"/>
        <v>0.96</v>
      </c>
      <c r="K199" s="10">
        <f t="shared" si="25"/>
        <v>211.22951388888887</v>
      </c>
      <c r="L199" s="10">
        <f t="shared" si="26"/>
        <v>202.78033333333332</v>
      </c>
      <c r="M199" s="5">
        <f t="shared" si="27"/>
        <v>8.5195138888888664</v>
      </c>
      <c r="N199" s="1"/>
    </row>
    <row r="200" spans="1:14" x14ac:dyDescent="0.35">
      <c r="A200" s="6">
        <v>45856</v>
      </c>
      <c r="B200" s="7" t="s">
        <v>55</v>
      </c>
      <c r="C200" s="2" t="str">
        <f t="shared" si="21"/>
        <v>Jul</v>
      </c>
      <c r="D200" s="2" t="str">
        <f t="shared" si="22"/>
        <v>Peak</v>
      </c>
      <c r="E200" s="2" t="str">
        <f t="shared" si="23"/>
        <v>Fri</v>
      </c>
      <c r="F200" s="8">
        <v>148</v>
      </c>
      <c r="G200" s="8">
        <v>150</v>
      </c>
      <c r="H200" s="9">
        <v>32614.78</v>
      </c>
      <c r="I200" s="10">
        <v>217.33</v>
      </c>
      <c r="J200" s="11">
        <f t="shared" si="24"/>
        <v>0.98666666666666669</v>
      </c>
      <c r="K200" s="10">
        <f t="shared" si="25"/>
        <v>220.37013513513511</v>
      </c>
      <c r="L200" s="10">
        <f t="shared" si="26"/>
        <v>217.43186666666665</v>
      </c>
      <c r="M200" s="5">
        <f t="shared" si="27"/>
        <v>3.0401351351351025</v>
      </c>
      <c r="N200" s="1"/>
    </row>
    <row r="201" spans="1:14" x14ac:dyDescent="0.35">
      <c r="A201" s="6">
        <v>45857</v>
      </c>
      <c r="B201" s="7" t="s">
        <v>55</v>
      </c>
      <c r="C201" s="2" t="str">
        <f t="shared" si="21"/>
        <v>Jul</v>
      </c>
      <c r="D201" s="2" t="str">
        <f t="shared" si="22"/>
        <v>Peak</v>
      </c>
      <c r="E201" s="2" t="str">
        <f t="shared" si="23"/>
        <v>Sat</v>
      </c>
      <c r="F201" s="8">
        <v>148</v>
      </c>
      <c r="G201" s="8">
        <v>150</v>
      </c>
      <c r="H201" s="9">
        <v>40551.339999999997</v>
      </c>
      <c r="I201" s="10">
        <v>244.1</v>
      </c>
      <c r="J201" s="11">
        <f t="shared" si="24"/>
        <v>0.98666666666666669</v>
      </c>
      <c r="K201" s="10">
        <f t="shared" si="25"/>
        <v>273.9955405405405</v>
      </c>
      <c r="L201" s="10">
        <f t="shared" si="26"/>
        <v>270.34226666666666</v>
      </c>
      <c r="M201" s="5">
        <f t="shared" si="27"/>
        <v>29.895540540540509</v>
      </c>
      <c r="N201" s="1" t="s">
        <v>17</v>
      </c>
    </row>
    <row r="202" spans="1:14" x14ac:dyDescent="0.35">
      <c r="A202" s="6">
        <v>45858</v>
      </c>
      <c r="B202" s="7" t="s">
        <v>55</v>
      </c>
      <c r="C202" s="2" t="str">
        <f t="shared" si="21"/>
        <v>Jul</v>
      </c>
      <c r="D202" s="2" t="str">
        <f t="shared" si="22"/>
        <v>Peak</v>
      </c>
      <c r="E202" s="2" t="str">
        <f t="shared" si="23"/>
        <v>Sun</v>
      </c>
      <c r="F202" s="8">
        <v>134</v>
      </c>
      <c r="G202" s="8">
        <v>150</v>
      </c>
      <c r="H202" s="9">
        <v>29932.55</v>
      </c>
      <c r="I202" s="10">
        <v>221.79</v>
      </c>
      <c r="J202" s="11">
        <f t="shared" si="24"/>
        <v>0.89333333333333331</v>
      </c>
      <c r="K202" s="10">
        <f t="shared" si="25"/>
        <v>223.37723880597014</v>
      </c>
      <c r="L202" s="10">
        <f t="shared" si="26"/>
        <v>199.55033333333333</v>
      </c>
      <c r="M202" s="5">
        <f t="shared" si="27"/>
        <v>1.587238805970145</v>
      </c>
      <c r="N202" s="1" t="s">
        <v>17</v>
      </c>
    </row>
    <row r="203" spans="1:14" x14ac:dyDescent="0.35">
      <c r="A203" s="6">
        <v>45859</v>
      </c>
      <c r="B203" s="7" t="s">
        <v>55</v>
      </c>
      <c r="C203" s="2" t="str">
        <f t="shared" si="21"/>
        <v>Jul</v>
      </c>
      <c r="D203" s="2" t="str">
        <f t="shared" si="22"/>
        <v>Peak</v>
      </c>
      <c r="E203" s="2" t="str">
        <f t="shared" si="23"/>
        <v>Mon</v>
      </c>
      <c r="F203" s="8">
        <v>133</v>
      </c>
      <c r="G203" s="8">
        <v>150</v>
      </c>
      <c r="H203" s="9">
        <v>25384.5</v>
      </c>
      <c r="I203" s="10">
        <v>193.7</v>
      </c>
      <c r="J203" s="11">
        <f t="shared" si="24"/>
        <v>0.88666666666666671</v>
      </c>
      <c r="K203" s="10">
        <f t="shared" si="25"/>
        <v>190.8609022556391</v>
      </c>
      <c r="L203" s="10">
        <f t="shared" si="26"/>
        <v>169.23</v>
      </c>
      <c r="M203" s="5">
        <f t="shared" si="27"/>
        <v>-2.8390977443608847</v>
      </c>
      <c r="N203" s="1"/>
    </row>
    <row r="204" spans="1:14" x14ac:dyDescent="0.35">
      <c r="A204" s="6">
        <v>45860</v>
      </c>
      <c r="B204" s="7" t="s">
        <v>55</v>
      </c>
      <c r="C204" s="2" t="str">
        <f t="shared" si="21"/>
        <v>Jul</v>
      </c>
      <c r="D204" s="2" t="str">
        <f t="shared" si="22"/>
        <v>Peak</v>
      </c>
      <c r="E204" s="2" t="str">
        <f t="shared" si="23"/>
        <v>Tue</v>
      </c>
      <c r="F204" s="8">
        <v>135</v>
      </c>
      <c r="G204" s="8">
        <v>150</v>
      </c>
      <c r="H204" s="9">
        <v>27715.77</v>
      </c>
      <c r="I204" s="10">
        <v>196.43</v>
      </c>
      <c r="J204" s="11">
        <f t="shared" si="24"/>
        <v>0.9</v>
      </c>
      <c r="K204" s="10">
        <f t="shared" si="25"/>
        <v>205.30199999999999</v>
      </c>
      <c r="L204" s="10">
        <f t="shared" si="26"/>
        <v>184.77180000000001</v>
      </c>
      <c r="M204" s="5">
        <f t="shared" si="27"/>
        <v>8.8719999999999857</v>
      </c>
      <c r="N204" s="1"/>
    </row>
    <row r="205" spans="1:14" x14ac:dyDescent="0.35">
      <c r="A205" s="6">
        <v>45861</v>
      </c>
      <c r="B205" s="7" t="s">
        <v>55</v>
      </c>
      <c r="C205" s="2" t="str">
        <f t="shared" si="21"/>
        <v>Jul</v>
      </c>
      <c r="D205" s="2" t="str">
        <f t="shared" si="22"/>
        <v>Peak</v>
      </c>
      <c r="E205" s="2" t="str">
        <f t="shared" si="23"/>
        <v>Wed</v>
      </c>
      <c r="F205" s="8">
        <v>139</v>
      </c>
      <c r="G205" s="8">
        <v>150</v>
      </c>
      <c r="H205" s="9">
        <v>29079.89</v>
      </c>
      <c r="I205" s="10">
        <v>196.57</v>
      </c>
      <c r="J205" s="11">
        <f t="shared" si="24"/>
        <v>0.92666666666666664</v>
      </c>
      <c r="K205" s="10">
        <f t="shared" si="25"/>
        <v>209.20784172661871</v>
      </c>
      <c r="L205" s="10">
        <f t="shared" si="26"/>
        <v>193.86593333333332</v>
      </c>
      <c r="M205" s="5">
        <f t="shared" si="27"/>
        <v>12.637841726618717</v>
      </c>
      <c r="N205" s="1"/>
    </row>
    <row r="206" spans="1:14" x14ac:dyDescent="0.35">
      <c r="A206" s="6">
        <v>45862</v>
      </c>
      <c r="B206" s="7" t="s">
        <v>55</v>
      </c>
      <c r="C206" s="2" t="str">
        <f t="shared" si="21"/>
        <v>Jul</v>
      </c>
      <c r="D206" s="2" t="str">
        <f t="shared" si="22"/>
        <v>Peak</v>
      </c>
      <c r="E206" s="2" t="str">
        <f t="shared" si="23"/>
        <v>Thu</v>
      </c>
      <c r="F206" s="8">
        <v>148</v>
      </c>
      <c r="G206" s="8">
        <v>150</v>
      </c>
      <c r="H206" s="9">
        <v>30559.06</v>
      </c>
      <c r="I206" s="10">
        <v>203.88</v>
      </c>
      <c r="J206" s="11">
        <f t="shared" si="24"/>
        <v>0.98666666666666669</v>
      </c>
      <c r="K206" s="10">
        <f t="shared" si="25"/>
        <v>206.48013513513516</v>
      </c>
      <c r="L206" s="10">
        <f t="shared" si="26"/>
        <v>203.72706666666667</v>
      </c>
      <c r="M206" s="5">
        <f t="shared" si="27"/>
        <v>2.6001351351351616</v>
      </c>
      <c r="N206" s="1"/>
    </row>
    <row r="207" spans="1:14" x14ac:dyDescent="0.35">
      <c r="A207" s="6">
        <v>45863</v>
      </c>
      <c r="B207" s="7" t="s">
        <v>55</v>
      </c>
      <c r="C207" s="2" t="str">
        <f t="shared" si="21"/>
        <v>Jul</v>
      </c>
      <c r="D207" s="2" t="str">
        <f t="shared" si="22"/>
        <v>Peak</v>
      </c>
      <c r="E207" s="2" t="str">
        <f t="shared" si="23"/>
        <v>Fri</v>
      </c>
      <c r="F207" s="8">
        <v>144</v>
      </c>
      <c r="G207" s="8">
        <v>150</v>
      </c>
      <c r="H207" s="9">
        <v>33127.01</v>
      </c>
      <c r="I207" s="10">
        <v>212.19</v>
      </c>
      <c r="J207" s="11">
        <f t="shared" si="24"/>
        <v>0.96</v>
      </c>
      <c r="K207" s="10">
        <f t="shared" si="25"/>
        <v>230.04868055555556</v>
      </c>
      <c r="L207" s="10">
        <f t="shared" si="26"/>
        <v>220.84673333333333</v>
      </c>
      <c r="M207" s="5">
        <f t="shared" si="27"/>
        <v>17.858680555555566</v>
      </c>
      <c r="N207" s="1"/>
    </row>
    <row r="208" spans="1:14" x14ac:dyDescent="0.35">
      <c r="A208" s="6">
        <v>45864</v>
      </c>
      <c r="B208" s="7" t="s">
        <v>55</v>
      </c>
      <c r="C208" s="2" t="str">
        <f t="shared" si="21"/>
        <v>Jul</v>
      </c>
      <c r="D208" s="2" t="str">
        <f t="shared" si="22"/>
        <v>Peak</v>
      </c>
      <c r="E208" s="2" t="str">
        <f t="shared" si="23"/>
        <v>Sat</v>
      </c>
      <c r="F208" s="8">
        <v>143</v>
      </c>
      <c r="G208" s="8">
        <v>150</v>
      </c>
      <c r="H208" s="9">
        <v>32223.599999999999</v>
      </c>
      <c r="I208" s="10">
        <v>214.58</v>
      </c>
      <c r="J208" s="11">
        <f t="shared" si="24"/>
        <v>0.95333333333333337</v>
      </c>
      <c r="K208" s="10">
        <f t="shared" si="25"/>
        <v>225.33986013986012</v>
      </c>
      <c r="L208" s="10">
        <f t="shared" si="26"/>
        <v>214.82399999999998</v>
      </c>
      <c r="M208" s="5">
        <f t="shared" si="27"/>
        <v>10.759860139860109</v>
      </c>
      <c r="N208" s="1"/>
    </row>
    <row r="209" spans="1:14" x14ac:dyDescent="0.35">
      <c r="A209" s="6">
        <v>45865</v>
      </c>
      <c r="B209" s="7" t="s">
        <v>55</v>
      </c>
      <c r="C209" s="2" t="str">
        <f t="shared" si="21"/>
        <v>Jul</v>
      </c>
      <c r="D209" s="2" t="str">
        <f t="shared" si="22"/>
        <v>Peak</v>
      </c>
      <c r="E209" s="2" t="str">
        <f t="shared" si="23"/>
        <v>Sun</v>
      </c>
      <c r="F209" s="8">
        <v>122</v>
      </c>
      <c r="G209" s="8">
        <v>150</v>
      </c>
      <c r="H209" s="9">
        <v>24137.040000000001</v>
      </c>
      <c r="I209" s="10">
        <v>188.51</v>
      </c>
      <c r="J209" s="11">
        <f t="shared" si="24"/>
        <v>0.81333333333333335</v>
      </c>
      <c r="K209" s="10">
        <f t="shared" si="25"/>
        <v>197.84459016393444</v>
      </c>
      <c r="L209" s="10">
        <f t="shared" si="26"/>
        <v>160.9136</v>
      </c>
      <c r="M209" s="5">
        <f t="shared" si="27"/>
        <v>9.3345901639344504</v>
      </c>
      <c r="N209" s="1"/>
    </row>
    <row r="210" spans="1:14" x14ac:dyDescent="0.35">
      <c r="A210" s="6">
        <v>45866</v>
      </c>
      <c r="B210" s="7" t="s">
        <v>55</v>
      </c>
      <c r="C210" s="2" t="str">
        <f t="shared" si="21"/>
        <v>Jul</v>
      </c>
      <c r="D210" s="2" t="str">
        <f t="shared" si="22"/>
        <v>Peak</v>
      </c>
      <c r="E210" s="2" t="str">
        <f t="shared" si="23"/>
        <v>Mon</v>
      </c>
      <c r="F210" s="8">
        <v>121</v>
      </c>
      <c r="G210" s="8">
        <v>150</v>
      </c>
      <c r="H210" s="9">
        <v>23539.11</v>
      </c>
      <c r="I210" s="10">
        <v>192.48</v>
      </c>
      <c r="J210" s="11">
        <f t="shared" si="24"/>
        <v>0.80666666666666664</v>
      </c>
      <c r="K210" s="10">
        <f t="shared" si="25"/>
        <v>194.53809917355372</v>
      </c>
      <c r="L210" s="10">
        <f t="shared" si="26"/>
        <v>156.92740000000001</v>
      </c>
      <c r="M210" s="5">
        <f t="shared" si="27"/>
        <v>2.0580991735537282</v>
      </c>
      <c r="N210" s="1"/>
    </row>
    <row r="211" spans="1:14" x14ac:dyDescent="0.35">
      <c r="A211" s="6">
        <v>45867</v>
      </c>
      <c r="B211" s="7" t="s">
        <v>55</v>
      </c>
      <c r="C211" s="2" t="str">
        <f t="shared" si="21"/>
        <v>Jul</v>
      </c>
      <c r="D211" s="2" t="str">
        <f t="shared" si="22"/>
        <v>Peak</v>
      </c>
      <c r="E211" s="2" t="str">
        <f t="shared" si="23"/>
        <v>Tue</v>
      </c>
      <c r="F211" s="8">
        <v>138</v>
      </c>
      <c r="G211" s="8">
        <v>150</v>
      </c>
      <c r="H211" s="9">
        <v>28258.12</v>
      </c>
      <c r="I211" s="10">
        <v>200.32</v>
      </c>
      <c r="J211" s="11">
        <f t="shared" si="24"/>
        <v>0.92</v>
      </c>
      <c r="K211" s="10">
        <f t="shared" si="25"/>
        <v>204.76898550724636</v>
      </c>
      <c r="L211" s="10">
        <f t="shared" si="26"/>
        <v>188.38746666666665</v>
      </c>
      <c r="M211" s="5">
        <f t="shared" si="27"/>
        <v>4.4489855072463627</v>
      </c>
      <c r="N211" s="1"/>
    </row>
    <row r="212" spans="1:14" x14ac:dyDescent="0.35">
      <c r="A212" s="6">
        <v>45868</v>
      </c>
      <c r="B212" s="7" t="s">
        <v>55</v>
      </c>
      <c r="C212" s="2" t="str">
        <f t="shared" si="21"/>
        <v>Jul</v>
      </c>
      <c r="D212" s="2" t="str">
        <f t="shared" si="22"/>
        <v>Peak</v>
      </c>
      <c r="E212" s="2" t="str">
        <f t="shared" si="23"/>
        <v>Wed</v>
      </c>
      <c r="F212" s="8">
        <v>141</v>
      </c>
      <c r="G212" s="8">
        <v>150</v>
      </c>
      <c r="H212" s="9">
        <v>30312.93</v>
      </c>
      <c r="I212" s="10">
        <v>199.58</v>
      </c>
      <c r="J212" s="11">
        <f t="shared" si="24"/>
        <v>0.94</v>
      </c>
      <c r="K212" s="10">
        <f t="shared" si="25"/>
        <v>214.98531914893618</v>
      </c>
      <c r="L212" s="10">
        <f t="shared" si="26"/>
        <v>202.08619999999999</v>
      </c>
      <c r="M212" s="5">
        <f t="shared" si="27"/>
        <v>15.405319148936172</v>
      </c>
      <c r="N212" s="1"/>
    </row>
    <row r="213" spans="1:14" x14ac:dyDescent="0.35">
      <c r="A213" s="6">
        <v>45869</v>
      </c>
      <c r="B213" s="7" t="s">
        <v>55</v>
      </c>
      <c r="C213" s="2" t="str">
        <f t="shared" si="21"/>
        <v>Jul</v>
      </c>
      <c r="D213" s="2" t="str">
        <f t="shared" si="22"/>
        <v>Peak</v>
      </c>
      <c r="E213" s="2" t="str">
        <f t="shared" si="23"/>
        <v>Thu</v>
      </c>
      <c r="F213" s="8">
        <v>136</v>
      </c>
      <c r="G213" s="8">
        <v>150</v>
      </c>
      <c r="H213" s="9">
        <v>28110.34</v>
      </c>
      <c r="I213" s="10">
        <v>201.32</v>
      </c>
      <c r="J213" s="11">
        <f t="shared" si="24"/>
        <v>0.90666666666666662</v>
      </c>
      <c r="K213" s="10">
        <f t="shared" si="25"/>
        <v>206.69367647058823</v>
      </c>
      <c r="L213" s="10">
        <f t="shared" si="26"/>
        <v>187.40226666666666</v>
      </c>
      <c r="M213" s="5">
        <f t="shared" si="27"/>
        <v>5.3736764705882365</v>
      </c>
      <c r="N213" s="1"/>
    </row>
    <row r="214" spans="1:14" x14ac:dyDescent="0.35">
      <c r="A214" s="6">
        <v>45870</v>
      </c>
      <c r="B214" s="7" t="s">
        <v>55</v>
      </c>
      <c r="C214" s="2" t="str">
        <f t="shared" si="21"/>
        <v>Aug</v>
      </c>
      <c r="D214" s="2" t="str">
        <f t="shared" si="22"/>
        <v>Peak</v>
      </c>
      <c r="E214" s="2" t="str">
        <f t="shared" si="23"/>
        <v>Fri</v>
      </c>
      <c r="F214" s="8">
        <v>144</v>
      </c>
      <c r="G214" s="8">
        <v>150</v>
      </c>
      <c r="H214" s="9">
        <v>31337.23</v>
      </c>
      <c r="I214" s="10">
        <v>217.05</v>
      </c>
      <c r="J214" s="11">
        <f t="shared" si="24"/>
        <v>0.96</v>
      </c>
      <c r="K214" s="10">
        <f t="shared" si="25"/>
        <v>217.61965277777779</v>
      </c>
      <c r="L214" s="10">
        <f t="shared" si="26"/>
        <v>208.91486666666665</v>
      </c>
      <c r="M214" s="5">
        <f t="shared" si="27"/>
        <v>0.56965277777777601</v>
      </c>
      <c r="N214" s="1"/>
    </row>
    <row r="215" spans="1:14" x14ac:dyDescent="0.35">
      <c r="A215" s="6">
        <v>45871</v>
      </c>
      <c r="B215" s="7" t="s">
        <v>55</v>
      </c>
      <c r="C215" s="2" t="str">
        <f t="shared" si="21"/>
        <v>Aug</v>
      </c>
      <c r="D215" s="2" t="str">
        <f t="shared" si="22"/>
        <v>Peak</v>
      </c>
      <c r="E215" s="2" t="str">
        <f t="shared" si="23"/>
        <v>Sat</v>
      </c>
      <c r="F215" s="8">
        <v>148</v>
      </c>
      <c r="G215" s="8">
        <v>150</v>
      </c>
      <c r="H215" s="9">
        <v>34747.199999999997</v>
      </c>
      <c r="I215" s="10">
        <v>216.64</v>
      </c>
      <c r="J215" s="11">
        <f t="shared" si="24"/>
        <v>0.98666666666666669</v>
      </c>
      <c r="K215" s="10">
        <f t="shared" si="25"/>
        <v>234.77837837837836</v>
      </c>
      <c r="L215" s="10">
        <f t="shared" si="26"/>
        <v>231.64799999999997</v>
      </c>
      <c r="M215" s="5">
        <f t="shared" si="27"/>
        <v>18.138378378378377</v>
      </c>
      <c r="N215" s="1"/>
    </row>
    <row r="216" spans="1:14" x14ac:dyDescent="0.35">
      <c r="A216" s="6">
        <v>45872</v>
      </c>
      <c r="B216" s="7" t="s">
        <v>55</v>
      </c>
      <c r="C216" s="2" t="str">
        <f t="shared" si="21"/>
        <v>Aug</v>
      </c>
      <c r="D216" s="2" t="str">
        <f t="shared" si="22"/>
        <v>Peak</v>
      </c>
      <c r="E216" s="2" t="str">
        <f t="shared" si="23"/>
        <v>Sun</v>
      </c>
      <c r="F216" s="8">
        <v>126</v>
      </c>
      <c r="G216" s="8">
        <v>150</v>
      </c>
      <c r="H216" s="9">
        <v>25526.06</v>
      </c>
      <c r="I216" s="10">
        <v>199.87</v>
      </c>
      <c r="J216" s="11">
        <f t="shared" si="24"/>
        <v>0.84</v>
      </c>
      <c r="K216" s="10">
        <f t="shared" si="25"/>
        <v>202.5877777777778</v>
      </c>
      <c r="L216" s="10">
        <f t="shared" si="26"/>
        <v>170.17373333333333</v>
      </c>
      <c r="M216" s="5">
        <f t="shared" si="27"/>
        <v>2.7177777777777976</v>
      </c>
      <c r="N216" s="1"/>
    </row>
    <row r="217" spans="1:14" x14ac:dyDescent="0.35">
      <c r="A217" s="6">
        <v>45873</v>
      </c>
      <c r="B217" s="7" t="s">
        <v>55</v>
      </c>
      <c r="C217" s="2" t="str">
        <f t="shared" si="21"/>
        <v>Aug</v>
      </c>
      <c r="D217" s="2" t="str">
        <f t="shared" si="22"/>
        <v>Peak</v>
      </c>
      <c r="E217" s="2" t="str">
        <f t="shared" si="23"/>
        <v>Mon</v>
      </c>
      <c r="F217" s="8">
        <v>129</v>
      </c>
      <c r="G217" s="8">
        <v>150</v>
      </c>
      <c r="H217" s="9">
        <v>26108.080000000002</v>
      </c>
      <c r="I217" s="10">
        <v>193.27</v>
      </c>
      <c r="J217" s="11">
        <f t="shared" si="24"/>
        <v>0.86</v>
      </c>
      <c r="K217" s="10">
        <f t="shared" si="25"/>
        <v>202.38821705426358</v>
      </c>
      <c r="L217" s="10">
        <f t="shared" si="26"/>
        <v>174.05386666666666</v>
      </c>
      <c r="M217" s="5">
        <f t="shared" si="27"/>
        <v>9.1182170542635674</v>
      </c>
      <c r="N217" s="1"/>
    </row>
    <row r="218" spans="1:14" x14ac:dyDescent="0.35">
      <c r="A218" s="6">
        <v>45874</v>
      </c>
      <c r="B218" s="7" t="s">
        <v>55</v>
      </c>
      <c r="C218" s="2" t="str">
        <f t="shared" si="21"/>
        <v>Aug</v>
      </c>
      <c r="D218" s="2" t="str">
        <f t="shared" si="22"/>
        <v>Peak</v>
      </c>
      <c r="E218" s="2" t="str">
        <f t="shared" si="23"/>
        <v>Tue</v>
      </c>
      <c r="F218" s="8">
        <v>129</v>
      </c>
      <c r="G218" s="8">
        <v>150</v>
      </c>
      <c r="H218" s="9">
        <v>27423.09</v>
      </c>
      <c r="I218" s="10">
        <v>204.12</v>
      </c>
      <c r="J218" s="11">
        <f t="shared" si="24"/>
        <v>0.86</v>
      </c>
      <c r="K218" s="10">
        <f t="shared" si="25"/>
        <v>212.58209302325582</v>
      </c>
      <c r="L218" s="10">
        <f t="shared" si="26"/>
        <v>182.82060000000001</v>
      </c>
      <c r="M218" s="5">
        <f t="shared" si="27"/>
        <v>8.462093023255818</v>
      </c>
      <c r="N218" s="1"/>
    </row>
    <row r="219" spans="1:14" x14ac:dyDescent="0.35">
      <c r="A219" s="6">
        <v>45875</v>
      </c>
      <c r="B219" s="7" t="s">
        <v>55</v>
      </c>
      <c r="C219" s="2" t="str">
        <f t="shared" si="21"/>
        <v>Aug</v>
      </c>
      <c r="D219" s="2" t="str">
        <f t="shared" si="22"/>
        <v>Peak</v>
      </c>
      <c r="E219" s="2" t="str">
        <f t="shared" si="23"/>
        <v>Wed</v>
      </c>
      <c r="F219" s="8">
        <v>137</v>
      </c>
      <c r="G219" s="8">
        <v>150</v>
      </c>
      <c r="H219" s="9">
        <v>30312.04</v>
      </c>
      <c r="I219" s="10">
        <v>211.39</v>
      </c>
      <c r="J219" s="11">
        <f t="shared" si="24"/>
        <v>0.91333333333333333</v>
      </c>
      <c r="K219" s="10">
        <f t="shared" si="25"/>
        <v>221.25576642335767</v>
      </c>
      <c r="L219" s="10">
        <f t="shared" si="26"/>
        <v>202.08026666666666</v>
      </c>
      <c r="M219" s="5">
        <f t="shared" si="27"/>
        <v>9.8657664233576838</v>
      </c>
      <c r="N219" s="1"/>
    </row>
    <row r="220" spans="1:14" x14ac:dyDescent="0.35">
      <c r="A220" s="6">
        <v>45876</v>
      </c>
      <c r="B220" s="7" t="s">
        <v>55</v>
      </c>
      <c r="C220" s="2" t="str">
        <f t="shared" si="21"/>
        <v>Aug</v>
      </c>
      <c r="D220" s="2" t="str">
        <f t="shared" si="22"/>
        <v>Peak</v>
      </c>
      <c r="E220" s="2" t="str">
        <f t="shared" si="23"/>
        <v>Thu</v>
      </c>
      <c r="F220" s="8">
        <v>148</v>
      </c>
      <c r="G220" s="8">
        <v>150</v>
      </c>
      <c r="H220" s="9">
        <v>30277.22</v>
      </c>
      <c r="I220" s="10">
        <v>217.37</v>
      </c>
      <c r="J220" s="11">
        <f t="shared" si="24"/>
        <v>0.98666666666666669</v>
      </c>
      <c r="K220" s="10">
        <f t="shared" si="25"/>
        <v>204.57581081081082</v>
      </c>
      <c r="L220" s="10">
        <f t="shared" si="26"/>
        <v>201.84813333333335</v>
      </c>
      <c r="M220" s="5">
        <f t="shared" si="27"/>
        <v>-12.794189189189183</v>
      </c>
      <c r="N220" s="1"/>
    </row>
    <row r="221" spans="1:14" x14ac:dyDescent="0.35">
      <c r="A221" s="6">
        <v>45877</v>
      </c>
      <c r="B221" s="7" t="s">
        <v>55</v>
      </c>
      <c r="C221" s="2" t="str">
        <f t="shared" si="21"/>
        <v>Aug</v>
      </c>
      <c r="D221" s="2" t="str">
        <f t="shared" si="22"/>
        <v>Peak</v>
      </c>
      <c r="E221" s="2" t="str">
        <f t="shared" si="23"/>
        <v>Fri</v>
      </c>
      <c r="F221" s="8">
        <v>148</v>
      </c>
      <c r="G221" s="8">
        <v>150</v>
      </c>
      <c r="H221" s="9">
        <v>44555.69</v>
      </c>
      <c r="I221" s="10">
        <v>263.52999999999997</v>
      </c>
      <c r="J221" s="11">
        <f t="shared" si="24"/>
        <v>0.98666666666666669</v>
      </c>
      <c r="K221" s="10">
        <f t="shared" si="25"/>
        <v>301.05195945945945</v>
      </c>
      <c r="L221" s="10">
        <f t="shared" si="26"/>
        <v>297.03793333333334</v>
      </c>
      <c r="M221" s="5">
        <f t="shared" si="27"/>
        <v>37.521959459459481</v>
      </c>
      <c r="N221" s="1" t="s">
        <v>16</v>
      </c>
    </row>
    <row r="222" spans="1:14" x14ac:dyDescent="0.35">
      <c r="A222" s="6">
        <v>45878</v>
      </c>
      <c r="B222" s="7" t="s">
        <v>55</v>
      </c>
      <c r="C222" s="2" t="str">
        <f t="shared" si="21"/>
        <v>Aug</v>
      </c>
      <c r="D222" s="2" t="str">
        <f t="shared" si="22"/>
        <v>Peak</v>
      </c>
      <c r="E222" s="2" t="str">
        <f t="shared" si="23"/>
        <v>Sat</v>
      </c>
      <c r="F222" s="8">
        <v>148</v>
      </c>
      <c r="G222" s="8">
        <v>150</v>
      </c>
      <c r="H222" s="9">
        <v>44034.96</v>
      </c>
      <c r="I222" s="10">
        <v>266.24</v>
      </c>
      <c r="J222" s="11">
        <f t="shared" si="24"/>
        <v>0.98666666666666669</v>
      </c>
      <c r="K222" s="10">
        <f t="shared" si="25"/>
        <v>297.53351351351353</v>
      </c>
      <c r="L222" s="10">
        <f t="shared" si="26"/>
        <v>293.56639999999999</v>
      </c>
      <c r="M222" s="5">
        <f t="shared" si="27"/>
        <v>31.293513513513517</v>
      </c>
      <c r="N222" s="1" t="s">
        <v>16</v>
      </c>
    </row>
    <row r="223" spans="1:14" x14ac:dyDescent="0.35">
      <c r="A223" s="6">
        <v>45879</v>
      </c>
      <c r="B223" s="7" t="s">
        <v>55</v>
      </c>
      <c r="C223" s="2" t="str">
        <f t="shared" si="21"/>
        <v>Aug</v>
      </c>
      <c r="D223" s="2" t="str">
        <f t="shared" si="22"/>
        <v>Peak</v>
      </c>
      <c r="E223" s="2" t="str">
        <f t="shared" si="23"/>
        <v>Sun</v>
      </c>
      <c r="F223" s="8">
        <v>127</v>
      </c>
      <c r="G223" s="8">
        <v>150</v>
      </c>
      <c r="H223" s="9">
        <v>27032.61</v>
      </c>
      <c r="I223" s="10">
        <v>202.95</v>
      </c>
      <c r="J223" s="11">
        <f t="shared" si="24"/>
        <v>0.84666666666666668</v>
      </c>
      <c r="K223" s="10">
        <f t="shared" si="25"/>
        <v>212.8551968503937</v>
      </c>
      <c r="L223" s="10">
        <f t="shared" si="26"/>
        <v>180.2174</v>
      </c>
      <c r="M223" s="5">
        <f t="shared" si="27"/>
        <v>9.9051968503937076</v>
      </c>
      <c r="N223" s="1"/>
    </row>
    <row r="224" spans="1:14" x14ac:dyDescent="0.35">
      <c r="A224" s="6">
        <v>45880</v>
      </c>
      <c r="B224" s="7" t="s">
        <v>55</v>
      </c>
      <c r="C224" s="2" t="str">
        <f t="shared" si="21"/>
        <v>Aug</v>
      </c>
      <c r="D224" s="2" t="str">
        <f t="shared" si="22"/>
        <v>Peak</v>
      </c>
      <c r="E224" s="2" t="str">
        <f t="shared" si="23"/>
        <v>Mon</v>
      </c>
      <c r="F224" s="8">
        <v>134</v>
      </c>
      <c r="G224" s="8">
        <v>150</v>
      </c>
      <c r="H224" s="9">
        <v>28333.87</v>
      </c>
      <c r="I224" s="10">
        <v>198.42</v>
      </c>
      <c r="J224" s="11">
        <f t="shared" si="24"/>
        <v>0.89333333333333331</v>
      </c>
      <c r="K224" s="10">
        <f t="shared" si="25"/>
        <v>211.44679104477612</v>
      </c>
      <c r="L224" s="10">
        <f t="shared" si="26"/>
        <v>188.89246666666665</v>
      </c>
      <c r="M224" s="5">
        <f t="shared" si="27"/>
        <v>13.026791044776132</v>
      </c>
      <c r="N224" s="1"/>
    </row>
    <row r="225" spans="1:14" x14ac:dyDescent="0.35">
      <c r="A225" s="6">
        <v>45881</v>
      </c>
      <c r="B225" s="7" t="s">
        <v>55</v>
      </c>
      <c r="C225" s="2" t="str">
        <f t="shared" si="21"/>
        <v>Aug</v>
      </c>
      <c r="D225" s="2" t="str">
        <f t="shared" si="22"/>
        <v>Peak</v>
      </c>
      <c r="E225" s="2" t="str">
        <f t="shared" si="23"/>
        <v>Tue</v>
      </c>
      <c r="F225" s="8">
        <v>139</v>
      </c>
      <c r="G225" s="8">
        <v>150</v>
      </c>
      <c r="H225" s="9">
        <v>29095.58</v>
      </c>
      <c r="I225" s="10">
        <v>203.5</v>
      </c>
      <c r="J225" s="11">
        <f t="shared" si="24"/>
        <v>0.92666666666666664</v>
      </c>
      <c r="K225" s="10">
        <f t="shared" si="25"/>
        <v>209.32071942446044</v>
      </c>
      <c r="L225" s="10">
        <f t="shared" si="26"/>
        <v>193.97053333333335</v>
      </c>
      <c r="M225" s="5">
        <f t="shared" si="27"/>
        <v>5.8207194244604352</v>
      </c>
      <c r="N225" s="1"/>
    </row>
    <row r="226" spans="1:14" x14ac:dyDescent="0.35">
      <c r="A226" s="6">
        <v>45882</v>
      </c>
      <c r="B226" s="7" t="s">
        <v>55</v>
      </c>
      <c r="C226" s="2" t="str">
        <f t="shared" si="21"/>
        <v>Aug</v>
      </c>
      <c r="D226" s="2" t="str">
        <f t="shared" si="22"/>
        <v>Peak</v>
      </c>
      <c r="E226" s="2" t="str">
        <f t="shared" si="23"/>
        <v>Wed</v>
      </c>
      <c r="F226" s="8">
        <v>142</v>
      </c>
      <c r="G226" s="8">
        <v>150</v>
      </c>
      <c r="H226" s="9">
        <v>30250.14</v>
      </c>
      <c r="I226" s="10">
        <v>210.56</v>
      </c>
      <c r="J226" s="11">
        <f t="shared" si="24"/>
        <v>0.94666666666666666</v>
      </c>
      <c r="K226" s="10">
        <f t="shared" si="25"/>
        <v>213.02915492957746</v>
      </c>
      <c r="L226" s="10">
        <f t="shared" si="26"/>
        <v>201.66759999999999</v>
      </c>
      <c r="M226" s="5">
        <f t="shared" si="27"/>
        <v>2.4691549295774564</v>
      </c>
      <c r="N226" s="1"/>
    </row>
    <row r="227" spans="1:14" x14ac:dyDescent="0.35">
      <c r="A227" s="6">
        <v>45883</v>
      </c>
      <c r="B227" s="7" t="s">
        <v>55</v>
      </c>
      <c r="C227" s="2" t="str">
        <f t="shared" si="21"/>
        <v>Aug</v>
      </c>
      <c r="D227" s="2" t="str">
        <f t="shared" si="22"/>
        <v>Peak</v>
      </c>
      <c r="E227" s="2" t="str">
        <f t="shared" si="23"/>
        <v>Thu</v>
      </c>
      <c r="F227" s="8">
        <v>143</v>
      </c>
      <c r="G227" s="8">
        <v>150</v>
      </c>
      <c r="H227" s="9">
        <v>30957.53</v>
      </c>
      <c r="I227" s="10">
        <v>210.6</v>
      </c>
      <c r="J227" s="11">
        <f t="shared" si="24"/>
        <v>0.95333333333333337</v>
      </c>
      <c r="K227" s="10">
        <f t="shared" si="25"/>
        <v>216.48622377622377</v>
      </c>
      <c r="L227" s="10">
        <f t="shared" si="26"/>
        <v>206.38353333333333</v>
      </c>
      <c r="M227" s="5">
        <f t="shared" si="27"/>
        <v>5.8862237762237726</v>
      </c>
      <c r="N227" s="1"/>
    </row>
    <row r="228" spans="1:14" x14ac:dyDescent="0.35">
      <c r="A228" s="6">
        <v>45884</v>
      </c>
      <c r="B228" s="7" t="s">
        <v>55</v>
      </c>
      <c r="C228" s="2" t="str">
        <f t="shared" si="21"/>
        <v>Aug</v>
      </c>
      <c r="D228" s="2" t="str">
        <f t="shared" si="22"/>
        <v>Peak</v>
      </c>
      <c r="E228" s="2" t="str">
        <f t="shared" si="23"/>
        <v>Fri</v>
      </c>
      <c r="F228" s="8">
        <v>145</v>
      </c>
      <c r="G228" s="8">
        <v>150</v>
      </c>
      <c r="H228" s="9">
        <v>32900.71</v>
      </c>
      <c r="I228" s="10">
        <v>213.43</v>
      </c>
      <c r="J228" s="11">
        <f t="shared" si="24"/>
        <v>0.96666666666666667</v>
      </c>
      <c r="K228" s="10">
        <f t="shared" si="25"/>
        <v>226.90144827586207</v>
      </c>
      <c r="L228" s="10">
        <f t="shared" si="26"/>
        <v>219.33806666666666</v>
      </c>
      <c r="M228" s="5">
        <f t="shared" si="27"/>
        <v>13.471448275862059</v>
      </c>
      <c r="N228" s="1"/>
    </row>
    <row r="229" spans="1:14" x14ac:dyDescent="0.35">
      <c r="A229" s="6">
        <v>45885</v>
      </c>
      <c r="B229" s="7" t="s">
        <v>55</v>
      </c>
      <c r="C229" s="2" t="str">
        <f t="shared" si="21"/>
        <v>Aug</v>
      </c>
      <c r="D229" s="2" t="str">
        <f t="shared" si="22"/>
        <v>Peak</v>
      </c>
      <c r="E229" s="2" t="str">
        <f t="shared" si="23"/>
        <v>Sat</v>
      </c>
      <c r="F229" s="8">
        <v>143</v>
      </c>
      <c r="G229" s="8">
        <v>150</v>
      </c>
      <c r="H229" s="9">
        <v>33207.86</v>
      </c>
      <c r="I229" s="10">
        <v>216.07</v>
      </c>
      <c r="J229" s="11">
        <f t="shared" si="24"/>
        <v>0.95333333333333337</v>
      </c>
      <c r="K229" s="10">
        <f t="shared" si="25"/>
        <v>232.22279720279721</v>
      </c>
      <c r="L229" s="10">
        <f t="shared" si="26"/>
        <v>221.38573333333335</v>
      </c>
      <c r="M229" s="5">
        <f t="shared" si="27"/>
        <v>16.152797202797217</v>
      </c>
      <c r="N229" s="1"/>
    </row>
    <row r="230" spans="1:14" x14ac:dyDescent="0.35">
      <c r="A230" s="6">
        <v>45886</v>
      </c>
      <c r="B230" s="7" t="s">
        <v>55</v>
      </c>
      <c r="C230" s="2" t="str">
        <f t="shared" si="21"/>
        <v>Aug</v>
      </c>
      <c r="D230" s="2" t="str">
        <f t="shared" si="22"/>
        <v>Peak</v>
      </c>
      <c r="E230" s="2" t="str">
        <f t="shared" si="23"/>
        <v>Sun</v>
      </c>
      <c r="F230" s="8">
        <v>133</v>
      </c>
      <c r="G230" s="8">
        <v>150</v>
      </c>
      <c r="H230" s="9">
        <v>27066.17</v>
      </c>
      <c r="I230" s="10">
        <v>194.35</v>
      </c>
      <c r="J230" s="11">
        <f t="shared" si="24"/>
        <v>0.88666666666666671</v>
      </c>
      <c r="K230" s="10">
        <f t="shared" si="25"/>
        <v>203.50503759398495</v>
      </c>
      <c r="L230" s="10">
        <f t="shared" si="26"/>
        <v>180.44113333333331</v>
      </c>
      <c r="M230" s="5">
        <f t="shared" si="27"/>
        <v>9.1550375939849573</v>
      </c>
      <c r="N230" s="1"/>
    </row>
    <row r="231" spans="1:14" x14ac:dyDescent="0.35">
      <c r="A231" s="6">
        <v>45887</v>
      </c>
      <c r="B231" s="7" t="s">
        <v>55</v>
      </c>
      <c r="C231" s="2" t="str">
        <f t="shared" si="21"/>
        <v>Aug</v>
      </c>
      <c r="D231" s="2" t="str">
        <f t="shared" si="22"/>
        <v>Peak</v>
      </c>
      <c r="E231" s="2" t="str">
        <f t="shared" si="23"/>
        <v>Mon</v>
      </c>
      <c r="F231" s="8">
        <v>130</v>
      </c>
      <c r="G231" s="8">
        <v>150</v>
      </c>
      <c r="H231" s="9">
        <v>28094.799999999999</v>
      </c>
      <c r="I231" s="10">
        <v>197.63</v>
      </c>
      <c r="J231" s="11">
        <f t="shared" si="24"/>
        <v>0.8666666666666667</v>
      </c>
      <c r="K231" s="10">
        <f t="shared" si="25"/>
        <v>216.11384615384614</v>
      </c>
      <c r="L231" s="10">
        <f t="shared" si="26"/>
        <v>187.29866666666666</v>
      </c>
      <c r="M231" s="5">
        <f t="shared" si="27"/>
        <v>18.483846153846144</v>
      </c>
      <c r="N231" s="1"/>
    </row>
    <row r="232" spans="1:14" x14ac:dyDescent="0.35">
      <c r="A232" s="6">
        <v>45888</v>
      </c>
      <c r="B232" s="7" t="s">
        <v>55</v>
      </c>
      <c r="C232" s="2" t="str">
        <f t="shared" si="21"/>
        <v>Aug</v>
      </c>
      <c r="D232" s="2" t="str">
        <f t="shared" si="22"/>
        <v>Peak</v>
      </c>
      <c r="E232" s="2" t="str">
        <f t="shared" si="23"/>
        <v>Tue</v>
      </c>
      <c r="F232" s="8">
        <v>137</v>
      </c>
      <c r="G232" s="8">
        <v>150</v>
      </c>
      <c r="H232" s="9">
        <v>29619.17</v>
      </c>
      <c r="I232" s="10">
        <v>203.47</v>
      </c>
      <c r="J232" s="11">
        <f t="shared" si="24"/>
        <v>0.91333333333333333</v>
      </c>
      <c r="K232" s="10">
        <f t="shared" si="25"/>
        <v>216.19832116788319</v>
      </c>
      <c r="L232" s="10">
        <f t="shared" si="26"/>
        <v>197.46113333333332</v>
      </c>
      <c r="M232" s="5">
        <f t="shared" si="27"/>
        <v>12.728321167883195</v>
      </c>
      <c r="N232" s="1"/>
    </row>
    <row r="233" spans="1:14" x14ac:dyDescent="0.35">
      <c r="A233" s="6">
        <v>45889</v>
      </c>
      <c r="B233" s="7" t="s">
        <v>55</v>
      </c>
      <c r="C233" s="2" t="str">
        <f t="shared" si="21"/>
        <v>Aug</v>
      </c>
      <c r="D233" s="2" t="str">
        <f t="shared" si="22"/>
        <v>Peak</v>
      </c>
      <c r="E233" s="2" t="str">
        <f t="shared" si="23"/>
        <v>Wed</v>
      </c>
      <c r="F233" s="8">
        <v>148</v>
      </c>
      <c r="G233" s="8">
        <v>150</v>
      </c>
      <c r="H233" s="9">
        <v>37624.03</v>
      </c>
      <c r="I233" s="10">
        <v>234.87</v>
      </c>
      <c r="J233" s="11">
        <f t="shared" si="24"/>
        <v>0.98666666666666669</v>
      </c>
      <c r="K233" s="10">
        <f t="shared" si="25"/>
        <v>254.21641891891892</v>
      </c>
      <c r="L233" s="10">
        <f t="shared" si="26"/>
        <v>250.82686666666666</v>
      </c>
      <c r="M233" s="5">
        <f t="shared" si="27"/>
        <v>19.346418918918914</v>
      </c>
      <c r="N233" s="1" t="s">
        <v>18</v>
      </c>
    </row>
    <row r="234" spans="1:14" x14ac:dyDescent="0.35">
      <c r="A234" s="6">
        <v>45890</v>
      </c>
      <c r="B234" s="7" t="s">
        <v>55</v>
      </c>
      <c r="C234" s="2" t="str">
        <f t="shared" si="21"/>
        <v>Aug</v>
      </c>
      <c r="D234" s="2" t="str">
        <f t="shared" si="22"/>
        <v>Peak</v>
      </c>
      <c r="E234" s="2" t="str">
        <f t="shared" si="23"/>
        <v>Thu</v>
      </c>
      <c r="F234" s="8">
        <v>148</v>
      </c>
      <c r="G234" s="8">
        <v>150</v>
      </c>
      <c r="H234" s="9">
        <v>39047.879999999997</v>
      </c>
      <c r="I234" s="10">
        <v>235.19</v>
      </c>
      <c r="J234" s="11">
        <f t="shared" si="24"/>
        <v>0.98666666666666669</v>
      </c>
      <c r="K234" s="10">
        <f t="shared" si="25"/>
        <v>263.83702702702703</v>
      </c>
      <c r="L234" s="10">
        <f t="shared" si="26"/>
        <v>260.31919999999997</v>
      </c>
      <c r="M234" s="5">
        <f t="shared" si="27"/>
        <v>28.647027027027036</v>
      </c>
      <c r="N234" s="1" t="s">
        <v>18</v>
      </c>
    </row>
    <row r="235" spans="1:14" x14ac:dyDescent="0.35">
      <c r="A235" s="6">
        <v>45891</v>
      </c>
      <c r="B235" s="7" t="s">
        <v>55</v>
      </c>
      <c r="C235" s="2" t="str">
        <f t="shared" si="21"/>
        <v>Aug</v>
      </c>
      <c r="D235" s="2" t="str">
        <f t="shared" si="22"/>
        <v>Peak</v>
      </c>
      <c r="E235" s="2" t="str">
        <f t="shared" si="23"/>
        <v>Fri</v>
      </c>
      <c r="F235" s="8">
        <v>148</v>
      </c>
      <c r="G235" s="8">
        <v>150</v>
      </c>
      <c r="H235" s="9">
        <v>39388.620000000003</v>
      </c>
      <c r="I235" s="10">
        <v>249.48</v>
      </c>
      <c r="J235" s="11">
        <f t="shared" si="24"/>
        <v>0.98666666666666669</v>
      </c>
      <c r="K235" s="10">
        <f t="shared" si="25"/>
        <v>266.13932432432432</v>
      </c>
      <c r="L235" s="10">
        <f t="shared" si="26"/>
        <v>262.5908</v>
      </c>
      <c r="M235" s="5">
        <f t="shared" si="27"/>
        <v>16.659324324324331</v>
      </c>
      <c r="N235" s="1" t="s">
        <v>18</v>
      </c>
    </row>
    <row r="236" spans="1:14" x14ac:dyDescent="0.35">
      <c r="A236" s="6">
        <v>45892</v>
      </c>
      <c r="B236" s="7" t="s">
        <v>55</v>
      </c>
      <c r="C236" s="2" t="str">
        <f t="shared" si="21"/>
        <v>Aug</v>
      </c>
      <c r="D236" s="2" t="str">
        <f t="shared" si="22"/>
        <v>Peak</v>
      </c>
      <c r="E236" s="2" t="str">
        <f t="shared" si="23"/>
        <v>Sat</v>
      </c>
      <c r="F236" s="8">
        <v>148</v>
      </c>
      <c r="G236" s="8">
        <v>150</v>
      </c>
      <c r="H236" s="9">
        <v>39847.33</v>
      </c>
      <c r="I236" s="10">
        <v>248.94</v>
      </c>
      <c r="J236" s="11">
        <f t="shared" si="24"/>
        <v>0.98666666666666669</v>
      </c>
      <c r="K236" s="10">
        <f t="shared" si="25"/>
        <v>269.23871621621623</v>
      </c>
      <c r="L236" s="10">
        <f t="shared" si="26"/>
        <v>265.64886666666666</v>
      </c>
      <c r="M236" s="5">
        <f t="shared" si="27"/>
        <v>20.298716216216235</v>
      </c>
      <c r="N236" s="1" t="s">
        <v>18</v>
      </c>
    </row>
    <row r="237" spans="1:14" x14ac:dyDescent="0.35">
      <c r="A237" s="6">
        <v>45893</v>
      </c>
      <c r="B237" s="7" t="s">
        <v>55</v>
      </c>
      <c r="C237" s="2" t="str">
        <f t="shared" si="21"/>
        <v>Aug</v>
      </c>
      <c r="D237" s="2" t="str">
        <f t="shared" si="22"/>
        <v>Peak</v>
      </c>
      <c r="E237" s="2" t="str">
        <f t="shared" si="23"/>
        <v>Sun</v>
      </c>
      <c r="F237" s="8">
        <v>139</v>
      </c>
      <c r="G237" s="8">
        <v>150</v>
      </c>
      <c r="H237" s="9">
        <v>35102.120000000003</v>
      </c>
      <c r="I237" s="10">
        <v>224.09</v>
      </c>
      <c r="J237" s="11">
        <f t="shared" si="24"/>
        <v>0.92666666666666664</v>
      </c>
      <c r="K237" s="10">
        <f t="shared" si="25"/>
        <v>252.53323741007196</v>
      </c>
      <c r="L237" s="10">
        <f t="shared" si="26"/>
        <v>234.01413333333335</v>
      </c>
      <c r="M237" s="5">
        <f t="shared" si="27"/>
        <v>28.443237410071958</v>
      </c>
      <c r="N237" s="1" t="s">
        <v>18</v>
      </c>
    </row>
    <row r="238" spans="1:14" x14ac:dyDescent="0.35">
      <c r="A238" s="6">
        <v>45894</v>
      </c>
      <c r="B238" s="7" t="s">
        <v>55</v>
      </c>
      <c r="C238" s="2" t="str">
        <f t="shared" si="21"/>
        <v>Aug</v>
      </c>
      <c r="D238" s="2" t="str">
        <f t="shared" si="22"/>
        <v>Peak</v>
      </c>
      <c r="E238" s="2" t="str">
        <f t="shared" si="23"/>
        <v>Mon</v>
      </c>
      <c r="F238" s="8">
        <v>130</v>
      </c>
      <c r="G238" s="8">
        <v>150</v>
      </c>
      <c r="H238" s="9">
        <v>26555.05</v>
      </c>
      <c r="I238" s="10">
        <v>202.39</v>
      </c>
      <c r="J238" s="11">
        <f t="shared" si="24"/>
        <v>0.8666666666666667</v>
      </c>
      <c r="K238" s="10">
        <f t="shared" si="25"/>
        <v>204.26961538461538</v>
      </c>
      <c r="L238" s="10">
        <f t="shared" si="26"/>
        <v>177.03366666666668</v>
      </c>
      <c r="M238" s="5">
        <f t="shared" si="27"/>
        <v>1.8796153846153913</v>
      </c>
      <c r="N238" s="1"/>
    </row>
    <row r="239" spans="1:14" x14ac:dyDescent="0.35">
      <c r="A239" s="6">
        <v>45895</v>
      </c>
      <c r="B239" s="7" t="s">
        <v>55</v>
      </c>
      <c r="C239" s="2" t="str">
        <f t="shared" si="21"/>
        <v>Aug</v>
      </c>
      <c r="D239" s="2" t="str">
        <f t="shared" si="22"/>
        <v>Peak</v>
      </c>
      <c r="E239" s="2" t="str">
        <f t="shared" si="23"/>
        <v>Tue</v>
      </c>
      <c r="F239" s="8">
        <v>135</v>
      </c>
      <c r="G239" s="8">
        <v>150</v>
      </c>
      <c r="H239" s="9">
        <v>29466.92</v>
      </c>
      <c r="I239" s="10">
        <v>201.47</v>
      </c>
      <c r="J239" s="11">
        <f t="shared" si="24"/>
        <v>0.9</v>
      </c>
      <c r="K239" s="10">
        <f t="shared" si="25"/>
        <v>218.27348148148147</v>
      </c>
      <c r="L239" s="10">
        <f t="shared" si="26"/>
        <v>196.44613333333334</v>
      </c>
      <c r="M239" s="5">
        <f t="shared" si="27"/>
        <v>16.803481481481469</v>
      </c>
      <c r="N239" s="1"/>
    </row>
    <row r="240" spans="1:14" x14ac:dyDescent="0.35">
      <c r="A240" s="6">
        <v>45896</v>
      </c>
      <c r="B240" s="7" t="s">
        <v>55</v>
      </c>
      <c r="C240" s="2" t="str">
        <f t="shared" si="21"/>
        <v>Aug</v>
      </c>
      <c r="D240" s="2" t="str">
        <f t="shared" si="22"/>
        <v>Peak</v>
      </c>
      <c r="E240" s="2" t="str">
        <f t="shared" si="23"/>
        <v>Wed</v>
      </c>
      <c r="F240" s="8">
        <v>138</v>
      </c>
      <c r="G240" s="8">
        <v>150</v>
      </c>
      <c r="H240" s="9">
        <v>30048.49</v>
      </c>
      <c r="I240" s="10">
        <v>202.74</v>
      </c>
      <c r="J240" s="11">
        <f t="shared" si="24"/>
        <v>0.92</v>
      </c>
      <c r="K240" s="10">
        <f t="shared" si="25"/>
        <v>217.7426811594203</v>
      </c>
      <c r="L240" s="10">
        <f t="shared" si="26"/>
        <v>200.32326666666668</v>
      </c>
      <c r="M240" s="5">
        <f t="shared" si="27"/>
        <v>15.002681159420291</v>
      </c>
      <c r="N240" s="1"/>
    </row>
    <row r="241" spans="1:14" x14ac:dyDescent="0.35">
      <c r="A241" s="6">
        <v>45897</v>
      </c>
      <c r="B241" s="7" t="s">
        <v>55</v>
      </c>
      <c r="C241" s="2" t="str">
        <f t="shared" si="21"/>
        <v>Aug</v>
      </c>
      <c r="D241" s="2" t="str">
        <f t="shared" si="22"/>
        <v>Peak</v>
      </c>
      <c r="E241" s="2" t="str">
        <f t="shared" si="23"/>
        <v>Thu</v>
      </c>
      <c r="F241" s="8">
        <v>146</v>
      </c>
      <c r="G241" s="8">
        <v>150</v>
      </c>
      <c r="H241" s="9">
        <v>32260.45</v>
      </c>
      <c r="I241" s="10">
        <v>210.21</v>
      </c>
      <c r="J241" s="11">
        <f t="shared" si="24"/>
        <v>0.97333333333333338</v>
      </c>
      <c r="K241" s="10">
        <f t="shared" si="25"/>
        <v>220.96198630136988</v>
      </c>
      <c r="L241" s="10">
        <f t="shared" si="26"/>
        <v>215.06966666666668</v>
      </c>
      <c r="M241" s="5">
        <f t="shared" si="27"/>
        <v>10.751986301369868</v>
      </c>
      <c r="N241" s="1"/>
    </row>
    <row r="242" spans="1:14" x14ac:dyDescent="0.35">
      <c r="A242" s="6">
        <v>45898</v>
      </c>
      <c r="B242" s="7" t="s">
        <v>55</v>
      </c>
      <c r="C242" s="2" t="str">
        <f t="shared" si="21"/>
        <v>Aug</v>
      </c>
      <c r="D242" s="2" t="str">
        <f t="shared" si="22"/>
        <v>Peak</v>
      </c>
      <c r="E242" s="2" t="str">
        <f t="shared" si="23"/>
        <v>Fri</v>
      </c>
      <c r="F242" s="8">
        <v>148</v>
      </c>
      <c r="G242" s="8">
        <v>150</v>
      </c>
      <c r="H242" s="9">
        <v>35186.17</v>
      </c>
      <c r="I242" s="10">
        <v>214.29</v>
      </c>
      <c r="J242" s="11">
        <f t="shared" si="24"/>
        <v>0.98666666666666669</v>
      </c>
      <c r="K242" s="10">
        <f t="shared" si="25"/>
        <v>237.74439189189189</v>
      </c>
      <c r="L242" s="10">
        <f t="shared" si="26"/>
        <v>234.57446666666667</v>
      </c>
      <c r="M242" s="5">
        <f t="shared" si="27"/>
        <v>23.454391891891902</v>
      </c>
      <c r="N242" s="1"/>
    </row>
    <row r="243" spans="1:14" x14ac:dyDescent="0.35">
      <c r="A243" s="6">
        <v>45899</v>
      </c>
      <c r="B243" s="7" t="s">
        <v>55</v>
      </c>
      <c r="C243" s="2" t="str">
        <f t="shared" si="21"/>
        <v>Aug</v>
      </c>
      <c r="D243" s="2" t="str">
        <f t="shared" si="22"/>
        <v>Peak</v>
      </c>
      <c r="E243" s="2" t="str">
        <f t="shared" si="23"/>
        <v>Sat</v>
      </c>
      <c r="F243" s="8">
        <v>148</v>
      </c>
      <c r="G243" s="8">
        <v>150</v>
      </c>
      <c r="H243" s="9">
        <v>34482.79</v>
      </c>
      <c r="I243" s="10">
        <v>220.64</v>
      </c>
      <c r="J243" s="11">
        <f t="shared" si="24"/>
        <v>0.98666666666666669</v>
      </c>
      <c r="K243" s="10">
        <f t="shared" si="25"/>
        <v>232.99182432432434</v>
      </c>
      <c r="L243" s="10">
        <f t="shared" si="26"/>
        <v>229.88526666666667</v>
      </c>
      <c r="M243" s="5">
        <f t="shared" si="27"/>
        <v>12.351824324324355</v>
      </c>
      <c r="N243" s="1"/>
    </row>
    <row r="244" spans="1:14" x14ac:dyDescent="0.35">
      <c r="A244" s="6">
        <v>45900</v>
      </c>
      <c r="B244" s="7" t="s">
        <v>55</v>
      </c>
      <c r="C244" s="2" t="str">
        <f t="shared" si="21"/>
        <v>Aug</v>
      </c>
      <c r="D244" s="2" t="str">
        <f t="shared" si="22"/>
        <v>Peak</v>
      </c>
      <c r="E244" s="2" t="str">
        <f t="shared" si="23"/>
        <v>Sun</v>
      </c>
      <c r="F244" s="8">
        <v>129</v>
      </c>
      <c r="G244" s="8">
        <v>150</v>
      </c>
      <c r="H244" s="9">
        <v>25595.78</v>
      </c>
      <c r="I244" s="10">
        <v>198.12</v>
      </c>
      <c r="J244" s="11">
        <f t="shared" si="24"/>
        <v>0.86</v>
      </c>
      <c r="K244" s="10">
        <f t="shared" si="25"/>
        <v>198.4168992248062</v>
      </c>
      <c r="L244" s="10">
        <f t="shared" si="26"/>
        <v>170.63853333333333</v>
      </c>
      <c r="M244" s="5">
        <f t="shared" si="27"/>
        <v>0.29689922480619657</v>
      </c>
      <c r="N244" s="1"/>
    </row>
    <row r="245" spans="1:14" x14ac:dyDescent="0.35">
      <c r="A245" s="6">
        <v>45901</v>
      </c>
      <c r="B245" s="7" t="s">
        <v>55</v>
      </c>
      <c r="C245" s="2" t="str">
        <f t="shared" si="21"/>
        <v>Sep</v>
      </c>
      <c r="D245" s="2" t="str">
        <f t="shared" si="22"/>
        <v>Peak</v>
      </c>
      <c r="E245" s="2" t="str">
        <f t="shared" si="23"/>
        <v>Mon</v>
      </c>
      <c r="F245" s="8">
        <v>128</v>
      </c>
      <c r="G245" s="8">
        <v>150</v>
      </c>
      <c r="H245" s="9">
        <v>23591.46</v>
      </c>
      <c r="I245" s="10">
        <v>185.26</v>
      </c>
      <c r="J245" s="11">
        <f t="shared" si="24"/>
        <v>0.85333333333333339</v>
      </c>
      <c r="K245" s="10">
        <f t="shared" si="25"/>
        <v>184.30828124999999</v>
      </c>
      <c r="L245" s="10">
        <f t="shared" si="26"/>
        <v>157.2764</v>
      </c>
      <c r="M245" s="5">
        <f t="shared" si="27"/>
        <v>-0.95171874999999773</v>
      </c>
      <c r="N245" s="1"/>
    </row>
    <row r="246" spans="1:14" x14ac:dyDescent="0.35">
      <c r="A246" s="6">
        <v>45902</v>
      </c>
      <c r="B246" s="7" t="s">
        <v>55</v>
      </c>
      <c r="C246" s="2" t="str">
        <f t="shared" si="21"/>
        <v>Sep</v>
      </c>
      <c r="D246" s="2" t="str">
        <f t="shared" si="22"/>
        <v>Peak</v>
      </c>
      <c r="E246" s="2" t="str">
        <f t="shared" si="23"/>
        <v>Tue</v>
      </c>
      <c r="F246" s="8">
        <v>130</v>
      </c>
      <c r="G246" s="8">
        <v>150</v>
      </c>
      <c r="H246" s="9">
        <v>24555.95</v>
      </c>
      <c r="I246" s="10">
        <v>190.49</v>
      </c>
      <c r="J246" s="11">
        <f t="shared" si="24"/>
        <v>0.8666666666666667</v>
      </c>
      <c r="K246" s="10">
        <f t="shared" si="25"/>
        <v>188.89192307692309</v>
      </c>
      <c r="L246" s="10">
        <f t="shared" si="26"/>
        <v>163.70633333333333</v>
      </c>
      <c r="M246" s="5">
        <f t="shared" si="27"/>
        <v>-1.598076923076917</v>
      </c>
      <c r="N246" s="1"/>
    </row>
    <row r="247" spans="1:14" x14ac:dyDescent="0.35">
      <c r="A247" s="6">
        <v>45903</v>
      </c>
      <c r="B247" s="7" t="s">
        <v>55</v>
      </c>
      <c r="C247" s="2" t="str">
        <f t="shared" si="21"/>
        <v>Sep</v>
      </c>
      <c r="D247" s="2" t="str">
        <f t="shared" si="22"/>
        <v>Peak</v>
      </c>
      <c r="E247" s="2" t="str">
        <f t="shared" si="23"/>
        <v>Wed</v>
      </c>
      <c r="F247" s="8">
        <v>141</v>
      </c>
      <c r="G247" s="8">
        <v>150</v>
      </c>
      <c r="H247" s="9">
        <v>27647.34</v>
      </c>
      <c r="I247" s="10">
        <v>189.68</v>
      </c>
      <c r="J247" s="11">
        <f t="shared" si="24"/>
        <v>0.94</v>
      </c>
      <c r="K247" s="10">
        <f t="shared" si="25"/>
        <v>196.0804255319149</v>
      </c>
      <c r="L247" s="10">
        <f t="shared" si="26"/>
        <v>184.31559999999999</v>
      </c>
      <c r="M247" s="5">
        <f t="shared" si="27"/>
        <v>6.4004255319148911</v>
      </c>
      <c r="N247" s="1"/>
    </row>
    <row r="248" spans="1:14" x14ac:dyDescent="0.35">
      <c r="A248" s="6">
        <v>45904</v>
      </c>
      <c r="B248" s="7" t="s">
        <v>55</v>
      </c>
      <c r="C248" s="2" t="str">
        <f t="shared" si="21"/>
        <v>Sep</v>
      </c>
      <c r="D248" s="2" t="str">
        <f t="shared" si="22"/>
        <v>Peak</v>
      </c>
      <c r="E248" s="2" t="str">
        <f t="shared" si="23"/>
        <v>Thu</v>
      </c>
      <c r="F248" s="8">
        <v>137</v>
      </c>
      <c r="G248" s="8">
        <v>150</v>
      </c>
      <c r="H248" s="9">
        <v>26528.09</v>
      </c>
      <c r="I248" s="10">
        <v>194.37</v>
      </c>
      <c r="J248" s="11">
        <f t="shared" si="24"/>
        <v>0.91333333333333333</v>
      </c>
      <c r="K248" s="10">
        <f t="shared" si="25"/>
        <v>193.63569343065694</v>
      </c>
      <c r="L248" s="10">
        <f t="shared" si="26"/>
        <v>176.85393333333334</v>
      </c>
      <c r="M248" s="5">
        <f t="shared" si="27"/>
        <v>-0.73430656934306171</v>
      </c>
      <c r="N248" s="1"/>
    </row>
    <row r="249" spans="1:14" x14ac:dyDescent="0.35">
      <c r="A249" s="6">
        <v>45905</v>
      </c>
      <c r="B249" s="7" t="s">
        <v>55</v>
      </c>
      <c r="C249" s="2" t="str">
        <f t="shared" si="21"/>
        <v>Sep</v>
      </c>
      <c r="D249" s="2" t="str">
        <f t="shared" si="22"/>
        <v>Peak</v>
      </c>
      <c r="E249" s="2" t="str">
        <f t="shared" si="23"/>
        <v>Fri</v>
      </c>
      <c r="F249" s="8">
        <v>142</v>
      </c>
      <c r="G249" s="8">
        <v>150</v>
      </c>
      <c r="H249" s="9">
        <v>30567.41</v>
      </c>
      <c r="I249" s="10">
        <v>205.61</v>
      </c>
      <c r="J249" s="11">
        <f t="shared" si="24"/>
        <v>0.94666666666666666</v>
      </c>
      <c r="K249" s="10">
        <f t="shared" si="25"/>
        <v>215.26345070422536</v>
      </c>
      <c r="L249" s="10">
        <f t="shared" si="26"/>
        <v>203.78273333333334</v>
      </c>
      <c r="M249" s="5">
        <f t="shared" si="27"/>
        <v>9.6534507042253495</v>
      </c>
      <c r="N249" s="1"/>
    </row>
    <row r="250" spans="1:14" x14ac:dyDescent="0.35">
      <c r="A250" s="6">
        <v>45906</v>
      </c>
      <c r="B250" s="7" t="s">
        <v>55</v>
      </c>
      <c r="C250" s="2" t="str">
        <f t="shared" si="21"/>
        <v>Sep</v>
      </c>
      <c r="D250" s="2" t="str">
        <f t="shared" si="22"/>
        <v>Peak</v>
      </c>
      <c r="E250" s="2" t="str">
        <f t="shared" si="23"/>
        <v>Sat</v>
      </c>
      <c r="F250" s="8">
        <v>148</v>
      </c>
      <c r="G250" s="8">
        <v>150</v>
      </c>
      <c r="H250" s="9">
        <v>34006.959999999999</v>
      </c>
      <c r="I250" s="10">
        <v>231.76</v>
      </c>
      <c r="J250" s="11">
        <f t="shared" si="24"/>
        <v>0.98666666666666669</v>
      </c>
      <c r="K250" s="10">
        <f t="shared" si="25"/>
        <v>229.77675675675675</v>
      </c>
      <c r="L250" s="10">
        <f t="shared" si="26"/>
        <v>226.71306666666666</v>
      </c>
      <c r="M250" s="5">
        <f t="shared" si="27"/>
        <v>-1.983243243243237</v>
      </c>
      <c r="N250" s="1" t="s">
        <v>19</v>
      </c>
    </row>
    <row r="251" spans="1:14" x14ac:dyDescent="0.35">
      <c r="A251" s="6">
        <v>45907</v>
      </c>
      <c r="B251" s="7" t="s">
        <v>55</v>
      </c>
      <c r="C251" s="2" t="str">
        <f t="shared" si="21"/>
        <v>Sep</v>
      </c>
      <c r="D251" s="2" t="str">
        <f t="shared" si="22"/>
        <v>Peak</v>
      </c>
      <c r="E251" s="2" t="str">
        <f t="shared" si="23"/>
        <v>Sun</v>
      </c>
      <c r="F251" s="8">
        <v>130</v>
      </c>
      <c r="G251" s="8">
        <v>150</v>
      </c>
      <c r="H251" s="9">
        <v>29270.3</v>
      </c>
      <c r="I251" s="10">
        <v>209.19</v>
      </c>
      <c r="J251" s="11">
        <f t="shared" si="24"/>
        <v>0.8666666666666667</v>
      </c>
      <c r="K251" s="10">
        <f t="shared" si="25"/>
        <v>225.15615384615384</v>
      </c>
      <c r="L251" s="10">
        <f t="shared" si="26"/>
        <v>195.13533333333334</v>
      </c>
      <c r="M251" s="5">
        <f t="shared" si="27"/>
        <v>15.966153846153844</v>
      </c>
      <c r="N251" s="1" t="s">
        <v>19</v>
      </c>
    </row>
    <row r="252" spans="1:14" x14ac:dyDescent="0.35">
      <c r="A252" s="6">
        <v>45908</v>
      </c>
      <c r="B252" s="7" t="s">
        <v>55</v>
      </c>
      <c r="C252" s="2" t="str">
        <f t="shared" si="21"/>
        <v>Sep</v>
      </c>
      <c r="D252" s="2" t="str">
        <f t="shared" si="22"/>
        <v>Peak</v>
      </c>
      <c r="E252" s="2" t="str">
        <f t="shared" si="23"/>
        <v>Mon</v>
      </c>
      <c r="F252" s="8">
        <v>128</v>
      </c>
      <c r="G252" s="8">
        <v>150</v>
      </c>
      <c r="H252" s="9">
        <v>23472.3</v>
      </c>
      <c r="I252" s="10">
        <v>182.75</v>
      </c>
      <c r="J252" s="11">
        <f t="shared" si="24"/>
        <v>0.85333333333333339</v>
      </c>
      <c r="K252" s="10">
        <f t="shared" si="25"/>
        <v>183.37734374999999</v>
      </c>
      <c r="L252" s="10">
        <f t="shared" si="26"/>
        <v>156.482</v>
      </c>
      <c r="M252" s="5">
        <f t="shared" si="27"/>
        <v>0.62734374999999432</v>
      </c>
      <c r="N252" s="1"/>
    </row>
    <row r="253" spans="1:14" x14ac:dyDescent="0.35">
      <c r="A253" s="6">
        <v>45909</v>
      </c>
      <c r="B253" s="7" t="s">
        <v>55</v>
      </c>
      <c r="C253" s="2" t="str">
        <f t="shared" si="21"/>
        <v>Sep</v>
      </c>
      <c r="D253" s="2" t="str">
        <f t="shared" si="22"/>
        <v>Peak</v>
      </c>
      <c r="E253" s="2" t="str">
        <f t="shared" si="23"/>
        <v>Tue</v>
      </c>
      <c r="F253" s="8">
        <v>129</v>
      </c>
      <c r="G253" s="8">
        <v>150</v>
      </c>
      <c r="H253" s="9">
        <v>22920.49</v>
      </c>
      <c r="I253" s="10">
        <v>188.82</v>
      </c>
      <c r="J253" s="11">
        <f t="shared" si="24"/>
        <v>0.86</v>
      </c>
      <c r="K253" s="10">
        <f t="shared" si="25"/>
        <v>177.67821705426357</v>
      </c>
      <c r="L253" s="10">
        <f t="shared" si="26"/>
        <v>152.80326666666667</v>
      </c>
      <c r="M253" s="5">
        <f t="shared" si="27"/>
        <v>-11.141782945736423</v>
      </c>
      <c r="N253" s="1"/>
    </row>
    <row r="254" spans="1:14" x14ac:dyDescent="0.35">
      <c r="A254" s="6">
        <v>45910</v>
      </c>
      <c r="B254" s="7" t="s">
        <v>55</v>
      </c>
      <c r="C254" s="2" t="str">
        <f t="shared" si="21"/>
        <v>Sep</v>
      </c>
      <c r="D254" s="2" t="str">
        <f t="shared" si="22"/>
        <v>Peak</v>
      </c>
      <c r="E254" s="2" t="str">
        <f t="shared" si="23"/>
        <v>Wed</v>
      </c>
      <c r="F254" s="8">
        <v>136</v>
      </c>
      <c r="G254" s="8">
        <v>150</v>
      </c>
      <c r="H254" s="9">
        <v>27435.02</v>
      </c>
      <c r="I254" s="10">
        <v>195.48</v>
      </c>
      <c r="J254" s="11">
        <f t="shared" si="24"/>
        <v>0.90666666666666662</v>
      </c>
      <c r="K254" s="10">
        <f t="shared" si="25"/>
        <v>201.72808823529411</v>
      </c>
      <c r="L254" s="10">
        <f t="shared" si="26"/>
        <v>182.90013333333334</v>
      </c>
      <c r="M254" s="5">
        <f t="shared" si="27"/>
        <v>6.2480882352941194</v>
      </c>
      <c r="N254" s="1"/>
    </row>
    <row r="255" spans="1:14" x14ac:dyDescent="0.35">
      <c r="A255" s="6">
        <v>45911</v>
      </c>
      <c r="B255" s="7" t="s">
        <v>55</v>
      </c>
      <c r="C255" s="2" t="str">
        <f t="shared" si="21"/>
        <v>Sep</v>
      </c>
      <c r="D255" s="2" t="str">
        <f t="shared" si="22"/>
        <v>Peak</v>
      </c>
      <c r="E255" s="2" t="str">
        <f t="shared" si="23"/>
        <v>Thu</v>
      </c>
      <c r="F255" s="8">
        <v>139</v>
      </c>
      <c r="G255" s="8">
        <v>150</v>
      </c>
      <c r="H255" s="9">
        <v>26905.91</v>
      </c>
      <c r="I255" s="10">
        <v>193.27</v>
      </c>
      <c r="J255" s="11">
        <f t="shared" si="24"/>
        <v>0.92666666666666664</v>
      </c>
      <c r="K255" s="10">
        <f t="shared" si="25"/>
        <v>193.56769784172661</v>
      </c>
      <c r="L255" s="10">
        <f t="shared" si="26"/>
        <v>179.37273333333334</v>
      </c>
      <c r="M255" s="5">
        <f t="shared" si="27"/>
        <v>0.29769784172660252</v>
      </c>
      <c r="N255" s="1"/>
    </row>
    <row r="256" spans="1:14" x14ac:dyDescent="0.35">
      <c r="A256" s="6">
        <v>45912</v>
      </c>
      <c r="B256" s="7" t="s">
        <v>55</v>
      </c>
      <c r="C256" s="2" t="str">
        <f t="shared" si="21"/>
        <v>Sep</v>
      </c>
      <c r="D256" s="2" t="str">
        <f t="shared" si="22"/>
        <v>Peak</v>
      </c>
      <c r="E256" s="2" t="str">
        <f t="shared" si="23"/>
        <v>Fri</v>
      </c>
      <c r="F256" s="8">
        <v>146</v>
      </c>
      <c r="G256" s="8">
        <v>150</v>
      </c>
      <c r="H256" s="9">
        <v>29313.49</v>
      </c>
      <c r="I256" s="10">
        <v>202.69</v>
      </c>
      <c r="J256" s="11">
        <f t="shared" si="24"/>
        <v>0.97333333333333338</v>
      </c>
      <c r="K256" s="10">
        <f t="shared" si="25"/>
        <v>200.77732876712329</v>
      </c>
      <c r="L256" s="10">
        <f t="shared" si="26"/>
        <v>195.42326666666668</v>
      </c>
      <c r="M256" s="5">
        <f t="shared" si="27"/>
        <v>-1.9126712328767042</v>
      </c>
      <c r="N256" s="1"/>
    </row>
    <row r="257" spans="1:14" x14ac:dyDescent="0.35">
      <c r="A257" s="6">
        <v>45913</v>
      </c>
      <c r="B257" s="7" t="s">
        <v>55</v>
      </c>
      <c r="C257" s="2" t="str">
        <f t="shared" si="21"/>
        <v>Sep</v>
      </c>
      <c r="D257" s="2" t="str">
        <f t="shared" si="22"/>
        <v>Peak</v>
      </c>
      <c r="E257" s="2" t="str">
        <f t="shared" si="23"/>
        <v>Sat</v>
      </c>
      <c r="F257" s="8">
        <v>137</v>
      </c>
      <c r="G257" s="8">
        <v>150</v>
      </c>
      <c r="H257" s="9">
        <v>28605.68</v>
      </c>
      <c r="I257" s="10">
        <v>210.87</v>
      </c>
      <c r="J257" s="11">
        <f t="shared" si="24"/>
        <v>0.91333333333333333</v>
      </c>
      <c r="K257" s="10">
        <f t="shared" si="25"/>
        <v>208.80058394160585</v>
      </c>
      <c r="L257" s="10">
        <f t="shared" si="26"/>
        <v>190.70453333333333</v>
      </c>
      <c r="M257" s="5">
        <f t="shared" si="27"/>
        <v>-2.0694160583941539</v>
      </c>
      <c r="N257" s="1"/>
    </row>
    <row r="258" spans="1:14" x14ac:dyDescent="0.35">
      <c r="A258" s="6">
        <v>45914</v>
      </c>
      <c r="B258" s="7" t="s">
        <v>55</v>
      </c>
      <c r="C258" s="2" t="str">
        <f t="shared" ref="C258:C321" si="28">CHOOSE(MONTH(A258),"Jan","Feb","Mar","Apr","May","Jun","Jul","Aug","Sep","Oct","Nov","Dec")</f>
        <v>Sep</v>
      </c>
      <c r="D258" s="2" t="str">
        <f t="shared" ref="D258:D321" si="29">IF(AND(MONTH(A258)&gt;=5,MONTH(A258)&lt;=9),"Peak","Off-Peak")</f>
        <v>Peak</v>
      </c>
      <c r="E258" s="2" t="str">
        <f t="shared" ref="E258:E321" si="30">CHOOSE(WEEKDAY(A258,2),"Mon","Tue","Wed","Thu","Fri","Sat","Sun")</f>
        <v>Sun</v>
      </c>
      <c r="F258" s="8">
        <v>120</v>
      </c>
      <c r="G258" s="8">
        <v>150</v>
      </c>
      <c r="H258" s="9">
        <v>22046.84</v>
      </c>
      <c r="I258" s="10">
        <v>177.43</v>
      </c>
      <c r="J258" s="11">
        <f t="shared" ref="J258:J321" si="31">IF(G258=0,0,F258/G258)</f>
        <v>0.8</v>
      </c>
      <c r="K258" s="10">
        <f t="shared" ref="K258:K321" si="32">IF(F258=0,0,H258/F258)</f>
        <v>183.72366666666667</v>
      </c>
      <c r="L258" s="10">
        <f t="shared" ref="L258:L321" si="33">IF(G258=0,0,H258/G258)</f>
        <v>146.97893333333334</v>
      </c>
      <c r="M258" s="5">
        <f t="shared" ref="M258:M321" si="34">K258-I258</f>
        <v>6.2936666666666667</v>
      </c>
      <c r="N258" s="1"/>
    </row>
    <row r="259" spans="1:14" x14ac:dyDescent="0.35">
      <c r="A259" s="6">
        <v>45915</v>
      </c>
      <c r="B259" s="7" t="s">
        <v>55</v>
      </c>
      <c r="C259" s="2" t="str">
        <f t="shared" si="28"/>
        <v>Sep</v>
      </c>
      <c r="D259" s="2" t="str">
        <f t="shared" si="29"/>
        <v>Peak</v>
      </c>
      <c r="E259" s="2" t="str">
        <f t="shared" si="30"/>
        <v>Mon</v>
      </c>
      <c r="F259" s="8">
        <v>123</v>
      </c>
      <c r="G259" s="8">
        <v>150</v>
      </c>
      <c r="H259" s="9">
        <v>22944.71</v>
      </c>
      <c r="I259" s="10">
        <v>182.01</v>
      </c>
      <c r="J259" s="11">
        <f t="shared" si="31"/>
        <v>0.82</v>
      </c>
      <c r="K259" s="10">
        <f t="shared" si="32"/>
        <v>186.54235772357723</v>
      </c>
      <c r="L259" s="10">
        <f t="shared" si="33"/>
        <v>152.96473333333333</v>
      </c>
      <c r="M259" s="5">
        <f t="shared" si="34"/>
        <v>4.5323577235772348</v>
      </c>
      <c r="N259" s="1"/>
    </row>
    <row r="260" spans="1:14" x14ac:dyDescent="0.35">
      <c r="A260" s="6">
        <v>45916</v>
      </c>
      <c r="B260" s="7" t="s">
        <v>55</v>
      </c>
      <c r="C260" s="2" t="str">
        <f t="shared" si="28"/>
        <v>Sep</v>
      </c>
      <c r="D260" s="2" t="str">
        <f t="shared" si="29"/>
        <v>Peak</v>
      </c>
      <c r="E260" s="2" t="str">
        <f t="shared" si="30"/>
        <v>Tue</v>
      </c>
      <c r="F260" s="8">
        <v>136</v>
      </c>
      <c r="G260" s="8">
        <v>150</v>
      </c>
      <c r="H260" s="9">
        <v>25766.639999999999</v>
      </c>
      <c r="I260" s="10">
        <v>186.59</v>
      </c>
      <c r="J260" s="11">
        <f t="shared" si="31"/>
        <v>0.90666666666666662</v>
      </c>
      <c r="K260" s="10">
        <f t="shared" si="32"/>
        <v>189.46058823529413</v>
      </c>
      <c r="L260" s="10">
        <f t="shared" si="33"/>
        <v>171.77760000000001</v>
      </c>
      <c r="M260" s="5">
        <f t="shared" si="34"/>
        <v>2.8705882352941217</v>
      </c>
      <c r="N260" s="1"/>
    </row>
    <row r="261" spans="1:14" x14ac:dyDescent="0.35">
      <c r="A261" s="6">
        <v>45917</v>
      </c>
      <c r="B261" s="7" t="s">
        <v>55</v>
      </c>
      <c r="C261" s="2" t="str">
        <f t="shared" si="28"/>
        <v>Sep</v>
      </c>
      <c r="D261" s="2" t="str">
        <f t="shared" si="29"/>
        <v>Peak</v>
      </c>
      <c r="E261" s="2" t="str">
        <f t="shared" si="30"/>
        <v>Wed</v>
      </c>
      <c r="F261" s="8">
        <v>128</v>
      </c>
      <c r="G261" s="8">
        <v>150</v>
      </c>
      <c r="H261" s="9">
        <v>24724.29</v>
      </c>
      <c r="I261" s="10">
        <v>191.26</v>
      </c>
      <c r="J261" s="11">
        <f t="shared" si="31"/>
        <v>0.85333333333333339</v>
      </c>
      <c r="K261" s="10">
        <f t="shared" si="32"/>
        <v>193.15851562500001</v>
      </c>
      <c r="L261" s="10">
        <f t="shared" si="33"/>
        <v>164.82859999999999</v>
      </c>
      <c r="M261" s="5">
        <f t="shared" si="34"/>
        <v>1.8985156250000159</v>
      </c>
      <c r="N261" s="1"/>
    </row>
    <row r="262" spans="1:14" x14ac:dyDescent="0.35">
      <c r="A262" s="6">
        <v>45918</v>
      </c>
      <c r="B262" s="7" t="s">
        <v>55</v>
      </c>
      <c r="C262" s="2" t="str">
        <f t="shared" si="28"/>
        <v>Sep</v>
      </c>
      <c r="D262" s="2" t="str">
        <f t="shared" si="29"/>
        <v>Peak</v>
      </c>
      <c r="E262" s="2" t="str">
        <f t="shared" si="30"/>
        <v>Thu</v>
      </c>
      <c r="F262" s="8">
        <v>136</v>
      </c>
      <c r="G262" s="8">
        <v>150</v>
      </c>
      <c r="H262" s="9">
        <v>25431.9</v>
      </c>
      <c r="I262" s="10">
        <v>191.04</v>
      </c>
      <c r="J262" s="11">
        <f t="shared" si="31"/>
        <v>0.90666666666666662</v>
      </c>
      <c r="K262" s="10">
        <f t="shared" si="32"/>
        <v>186.99926470588235</v>
      </c>
      <c r="L262" s="10">
        <f t="shared" si="33"/>
        <v>169.54600000000002</v>
      </c>
      <c r="M262" s="5">
        <f t="shared" si="34"/>
        <v>-4.0407352941176384</v>
      </c>
      <c r="N262" s="1"/>
    </row>
    <row r="263" spans="1:14" x14ac:dyDescent="0.35">
      <c r="A263" s="6">
        <v>45919</v>
      </c>
      <c r="B263" s="7" t="s">
        <v>55</v>
      </c>
      <c r="C263" s="2" t="str">
        <f t="shared" si="28"/>
        <v>Sep</v>
      </c>
      <c r="D263" s="2" t="str">
        <f t="shared" si="29"/>
        <v>Peak</v>
      </c>
      <c r="E263" s="2" t="str">
        <f t="shared" si="30"/>
        <v>Fri</v>
      </c>
      <c r="F263" s="8">
        <v>146</v>
      </c>
      <c r="G263" s="8">
        <v>150</v>
      </c>
      <c r="H263" s="9">
        <v>31203.360000000001</v>
      </c>
      <c r="I263" s="10">
        <v>207.99</v>
      </c>
      <c r="J263" s="11">
        <f t="shared" si="31"/>
        <v>0.97333333333333338</v>
      </c>
      <c r="K263" s="10">
        <f t="shared" si="32"/>
        <v>213.72164383561645</v>
      </c>
      <c r="L263" s="10">
        <f t="shared" si="33"/>
        <v>208.0224</v>
      </c>
      <c r="M263" s="5">
        <f t="shared" si="34"/>
        <v>5.7316438356164383</v>
      </c>
      <c r="N263" s="1"/>
    </row>
    <row r="264" spans="1:14" x14ac:dyDescent="0.35">
      <c r="A264" s="6">
        <v>45920</v>
      </c>
      <c r="B264" s="7" t="s">
        <v>55</v>
      </c>
      <c r="C264" s="2" t="str">
        <f t="shared" si="28"/>
        <v>Sep</v>
      </c>
      <c r="D264" s="2" t="str">
        <f t="shared" si="29"/>
        <v>Peak</v>
      </c>
      <c r="E264" s="2" t="str">
        <f t="shared" si="30"/>
        <v>Sat</v>
      </c>
      <c r="F264" s="8">
        <v>147</v>
      </c>
      <c r="G264" s="8">
        <v>150</v>
      </c>
      <c r="H264" s="9">
        <v>31083.85</v>
      </c>
      <c r="I264" s="10">
        <v>202.95</v>
      </c>
      <c r="J264" s="11">
        <f t="shared" si="31"/>
        <v>0.98</v>
      </c>
      <c r="K264" s="10">
        <f t="shared" si="32"/>
        <v>211.45476190476188</v>
      </c>
      <c r="L264" s="10">
        <f t="shared" si="33"/>
        <v>207.22566666666665</v>
      </c>
      <c r="M264" s="5">
        <f t="shared" si="34"/>
        <v>8.5047619047618923</v>
      </c>
      <c r="N264" s="1"/>
    </row>
    <row r="265" spans="1:14" x14ac:dyDescent="0.35">
      <c r="A265" s="6">
        <v>45921</v>
      </c>
      <c r="B265" s="7" t="s">
        <v>55</v>
      </c>
      <c r="C265" s="2" t="str">
        <f t="shared" si="28"/>
        <v>Sep</v>
      </c>
      <c r="D265" s="2" t="str">
        <f t="shared" si="29"/>
        <v>Peak</v>
      </c>
      <c r="E265" s="2" t="str">
        <f t="shared" si="30"/>
        <v>Sun</v>
      </c>
      <c r="F265" s="8">
        <v>129</v>
      </c>
      <c r="G265" s="8">
        <v>150</v>
      </c>
      <c r="H265" s="9">
        <v>22044.91</v>
      </c>
      <c r="I265" s="10">
        <v>184.09</v>
      </c>
      <c r="J265" s="11">
        <f t="shared" si="31"/>
        <v>0.86</v>
      </c>
      <c r="K265" s="10">
        <f t="shared" si="32"/>
        <v>170.89077519379845</v>
      </c>
      <c r="L265" s="10">
        <f t="shared" si="33"/>
        <v>146.96606666666668</v>
      </c>
      <c r="M265" s="5">
        <f t="shared" si="34"/>
        <v>-13.199224806201556</v>
      </c>
      <c r="N265" s="1"/>
    </row>
    <row r="266" spans="1:14" x14ac:dyDescent="0.35">
      <c r="A266" s="6">
        <v>45922</v>
      </c>
      <c r="B266" s="7" t="s">
        <v>55</v>
      </c>
      <c r="C266" s="2" t="str">
        <f t="shared" si="28"/>
        <v>Sep</v>
      </c>
      <c r="D266" s="2" t="str">
        <f t="shared" si="29"/>
        <v>Peak</v>
      </c>
      <c r="E266" s="2" t="str">
        <f t="shared" si="30"/>
        <v>Mon</v>
      </c>
      <c r="F266" s="8">
        <v>124</v>
      </c>
      <c r="G266" s="8">
        <v>150</v>
      </c>
      <c r="H266" s="9">
        <v>23520.42</v>
      </c>
      <c r="I266" s="10">
        <v>183.14</v>
      </c>
      <c r="J266" s="11">
        <f t="shared" si="31"/>
        <v>0.82666666666666666</v>
      </c>
      <c r="K266" s="10">
        <f t="shared" si="32"/>
        <v>189.68080645161288</v>
      </c>
      <c r="L266" s="10">
        <f t="shared" si="33"/>
        <v>156.80279999999999</v>
      </c>
      <c r="M266" s="5">
        <f t="shared" si="34"/>
        <v>6.5408064516128945</v>
      </c>
      <c r="N266" s="1"/>
    </row>
    <row r="267" spans="1:14" x14ac:dyDescent="0.35">
      <c r="A267" s="6">
        <v>45923</v>
      </c>
      <c r="B267" s="7" t="s">
        <v>55</v>
      </c>
      <c r="C267" s="2" t="str">
        <f t="shared" si="28"/>
        <v>Sep</v>
      </c>
      <c r="D267" s="2" t="str">
        <f t="shared" si="29"/>
        <v>Peak</v>
      </c>
      <c r="E267" s="2" t="str">
        <f t="shared" si="30"/>
        <v>Tue</v>
      </c>
      <c r="F267" s="8">
        <v>135</v>
      </c>
      <c r="G267" s="8">
        <v>150</v>
      </c>
      <c r="H267" s="9">
        <v>27183.1</v>
      </c>
      <c r="I267" s="10">
        <v>192.27</v>
      </c>
      <c r="J267" s="11">
        <f t="shared" si="31"/>
        <v>0.9</v>
      </c>
      <c r="K267" s="10">
        <f t="shared" si="32"/>
        <v>201.35629629629628</v>
      </c>
      <c r="L267" s="10">
        <f t="shared" si="33"/>
        <v>181.22066666666666</v>
      </c>
      <c r="M267" s="5">
        <f t="shared" si="34"/>
        <v>9.0862962962962683</v>
      </c>
      <c r="N267" s="1"/>
    </row>
    <row r="268" spans="1:14" x14ac:dyDescent="0.35">
      <c r="A268" s="6">
        <v>45924</v>
      </c>
      <c r="B268" s="7" t="s">
        <v>55</v>
      </c>
      <c r="C268" s="2" t="str">
        <f t="shared" si="28"/>
        <v>Sep</v>
      </c>
      <c r="D268" s="2" t="str">
        <f t="shared" si="29"/>
        <v>Peak</v>
      </c>
      <c r="E268" s="2" t="str">
        <f t="shared" si="30"/>
        <v>Wed</v>
      </c>
      <c r="F268" s="8">
        <v>138</v>
      </c>
      <c r="G268" s="8">
        <v>150</v>
      </c>
      <c r="H268" s="9">
        <v>28465.23</v>
      </c>
      <c r="I268" s="10">
        <v>191.45</v>
      </c>
      <c r="J268" s="11">
        <f t="shared" si="31"/>
        <v>0.92</v>
      </c>
      <c r="K268" s="10">
        <f t="shared" si="32"/>
        <v>206.26978260869564</v>
      </c>
      <c r="L268" s="10">
        <f t="shared" si="33"/>
        <v>189.76820000000001</v>
      </c>
      <c r="M268" s="5">
        <f t="shared" si="34"/>
        <v>14.819782608695647</v>
      </c>
      <c r="N268" s="1"/>
    </row>
    <row r="269" spans="1:14" x14ac:dyDescent="0.35">
      <c r="A269" s="6">
        <v>45925</v>
      </c>
      <c r="B269" s="7" t="s">
        <v>55</v>
      </c>
      <c r="C269" s="2" t="str">
        <f t="shared" si="28"/>
        <v>Sep</v>
      </c>
      <c r="D269" s="2" t="str">
        <f t="shared" si="29"/>
        <v>Peak</v>
      </c>
      <c r="E269" s="2" t="str">
        <f t="shared" si="30"/>
        <v>Thu</v>
      </c>
      <c r="F269" s="8">
        <v>132</v>
      </c>
      <c r="G269" s="8">
        <v>150</v>
      </c>
      <c r="H269" s="9">
        <v>25882.26</v>
      </c>
      <c r="I269" s="10">
        <v>199.82</v>
      </c>
      <c r="J269" s="11">
        <f t="shared" si="31"/>
        <v>0.88</v>
      </c>
      <c r="K269" s="10">
        <f t="shared" si="32"/>
        <v>196.07772727272726</v>
      </c>
      <c r="L269" s="10">
        <f t="shared" si="33"/>
        <v>172.54839999999999</v>
      </c>
      <c r="M269" s="5">
        <f t="shared" si="34"/>
        <v>-3.7422727272727343</v>
      </c>
      <c r="N269" s="1"/>
    </row>
    <row r="270" spans="1:14" x14ac:dyDescent="0.35">
      <c r="A270" s="6">
        <v>45926</v>
      </c>
      <c r="B270" s="7" t="s">
        <v>55</v>
      </c>
      <c r="C270" s="2" t="str">
        <f t="shared" si="28"/>
        <v>Sep</v>
      </c>
      <c r="D270" s="2" t="str">
        <f t="shared" si="29"/>
        <v>Peak</v>
      </c>
      <c r="E270" s="2" t="str">
        <f t="shared" si="30"/>
        <v>Fri</v>
      </c>
      <c r="F270" s="8">
        <v>132</v>
      </c>
      <c r="G270" s="8">
        <v>150</v>
      </c>
      <c r="H270" s="9">
        <v>29755.45</v>
      </c>
      <c r="I270" s="10">
        <v>203.13</v>
      </c>
      <c r="J270" s="11">
        <f t="shared" si="31"/>
        <v>0.88</v>
      </c>
      <c r="K270" s="10">
        <f t="shared" si="32"/>
        <v>225.42007575757577</v>
      </c>
      <c r="L270" s="10">
        <f t="shared" si="33"/>
        <v>198.36966666666666</v>
      </c>
      <c r="M270" s="5">
        <f t="shared" si="34"/>
        <v>22.290075757575778</v>
      </c>
      <c r="N270" s="1"/>
    </row>
    <row r="271" spans="1:14" x14ac:dyDescent="0.35">
      <c r="A271" s="6">
        <v>45927</v>
      </c>
      <c r="B271" s="7" t="s">
        <v>55</v>
      </c>
      <c r="C271" s="2" t="str">
        <f t="shared" si="28"/>
        <v>Sep</v>
      </c>
      <c r="D271" s="2" t="str">
        <f t="shared" si="29"/>
        <v>Peak</v>
      </c>
      <c r="E271" s="2" t="str">
        <f t="shared" si="30"/>
        <v>Sat</v>
      </c>
      <c r="F271" s="8">
        <v>143</v>
      </c>
      <c r="G271" s="8">
        <v>150</v>
      </c>
      <c r="H271" s="9">
        <v>29464.91</v>
      </c>
      <c r="I271" s="10">
        <v>204.94</v>
      </c>
      <c r="J271" s="11">
        <f t="shared" si="31"/>
        <v>0.95333333333333337</v>
      </c>
      <c r="K271" s="10">
        <f t="shared" si="32"/>
        <v>206.04832167832168</v>
      </c>
      <c r="L271" s="10">
        <f t="shared" si="33"/>
        <v>196.43273333333335</v>
      </c>
      <c r="M271" s="5">
        <f t="shared" si="34"/>
        <v>1.1083216783216869</v>
      </c>
      <c r="N271" s="1"/>
    </row>
    <row r="272" spans="1:14" x14ac:dyDescent="0.35">
      <c r="A272" s="6">
        <v>45928</v>
      </c>
      <c r="B272" s="7" t="s">
        <v>55</v>
      </c>
      <c r="C272" s="2" t="str">
        <f t="shared" si="28"/>
        <v>Sep</v>
      </c>
      <c r="D272" s="2" t="str">
        <f t="shared" si="29"/>
        <v>Peak</v>
      </c>
      <c r="E272" s="2" t="str">
        <f t="shared" si="30"/>
        <v>Sun</v>
      </c>
      <c r="F272" s="8">
        <v>130</v>
      </c>
      <c r="G272" s="8">
        <v>150</v>
      </c>
      <c r="H272" s="9">
        <v>23859.05</v>
      </c>
      <c r="I272" s="10">
        <v>182.84</v>
      </c>
      <c r="J272" s="11">
        <f t="shared" si="31"/>
        <v>0.8666666666666667</v>
      </c>
      <c r="K272" s="10">
        <f t="shared" si="32"/>
        <v>183.53115384615384</v>
      </c>
      <c r="L272" s="10">
        <f t="shared" si="33"/>
        <v>159.06033333333332</v>
      </c>
      <c r="M272" s="5">
        <f t="shared" si="34"/>
        <v>0.69115384615383846</v>
      </c>
      <c r="N272" s="1"/>
    </row>
    <row r="273" spans="1:14" x14ac:dyDescent="0.35">
      <c r="A273" s="6">
        <v>45929</v>
      </c>
      <c r="B273" s="7" t="s">
        <v>55</v>
      </c>
      <c r="C273" s="2" t="str">
        <f t="shared" si="28"/>
        <v>Sep</v>
      </c>
      <c r="D273" s="2" t="str">
        <f t="shared" si="29"/>
        <v>Peak</v>
      </c>
      <c r="E273" s="2" t="str">
        <f t="shared" si="30"/>
        <v>Mon</v>
      </c>
      <c r="F273" s="8">
        <v>121</v>
      </c>
      <c r="G273" s="8">
        <v>150</v>
      </c>
      <c r="H273" s="9">
        <v>21820.25</v>
      </c>
      <c r="I273" s="10">
        <v>179.52</v>
      </c>
      <c r="J273" s="11">
        <f t="shared" si="31"/>
        <v>0.80666666666666664</v>
      </c>
      <c r="K273" s="10">
        <f t="shared" si="32"/>
        <v>180.33264462809916</v>
      </c>
      <c r="L273" s="10">
        <f t="shared" si="33"/>
        <v>145.46833333333333</v>
      </c>
      <c r="M273" s="5">
        <f t="shared" si="34"/>
        <v>0.81264462809915017</v>
      </c>
      <c r="N273" s="1"/>
    </row>
    <row r="274" spans="1:14" x14ac:dyDescent="0.35">
      <c r="A274" s="6">
        <v>45930</v>
      </c>
      <c r="B274" s="7" t="s">
        <v>55</v>
      </c>
      <c r="C274" s="2" t="str">
        <f t="shared" si="28"/>
        <v>Sep</v>
      </c>
      <c r="D274" s="2" t="str">
        <f t="shared" si="29"/>
        <v>Peak</v>
      </c>
      <c r="E274" s="2" t="str">
        <f t="shared" si="30"/>
        <v>Tue</v>
      </c>
      <c r="F274" s="8">
        <v>131</v>
      </c>
      <c r="G274" s="8">
        <v>150</v>
      </c>
      <c r="H274" s="9">
        <v>24325.55</v>
      </c>
      <c r="I274" s="10">
        <v>186.11</v>
      </c>
      <c r="J274" s="11">
        <f t="shared" si="31"/>
        <v>0.87333333333333329</v>
      </c>
      <c r="K274" s="10">
        <f t="shared" si="32"/>
        <v>185.6912213740458</v>
      </c>
      <c r="L274" s="10">
        <f t="shared" si="33"/>
        <v>162.17033333333333</v>
      </c>
      <c r="M274" s="5">
        <f t="shared" si="34"/>
        <v>-0.41877862595421789</v>
      </c>
      <c r="N274" s="1"/>
    </row>
    <row r="275" spans="1:14" x14ac:dyDescent="0.35">
      <c r="A275" s="6">
        <v>45931</v>
      </c>
      <c r="B275" s="7" t="s">
        <v>55</v>
      </c>
      <c r="C275" s="2" t="str">
        <f t="shared" si="28"/>
        <v>Oct</v>
      </c>
      <c r="D275" s="2" t="str">
        <f t="shared" si="29"/>
        <v>Off-Peak</v>
      </c>
      <c r="E275" s="2" t="str">
        <f t="shared" si="30"/>
        <v>Wed</v>
      </c>
      <c r="F275" s="8">
        <v>123</v>
      </c>
      <c r="G275" s="8">
        <v>150</v>
      </c>
      <c r="H275" s="9">
        <v>20861.48</v>
      </c>
      <c r="I275" s="10">
        <v>171.14</v>
      </c>
      <c r="J275" s="11">
        <f t="shared" si="31"/>
        <v>0.82</v>
      </c>
      <c r="K275" s="10">
        <f t="shared" si="32"/>
        <v>169.60552845528454</v>
      </c>
      <c r="L275" s="10">
        <f t="shared" si="33"/>
        <v>139.07653333333334</v>
      </c>
      <c r="M275" s="5">
        <f t="shared" si="34"/>
        <v>-1.5344715447154442</v>
      </c>
      <c r="N275" s="1"/>
    </row>
    <row r="276" spans="1:14" x14ac:dyDescent="0.35">
      <c r="A276" s="6">
        <v>45932</v>
      </c>
      <c r="B276" s="7" t="s">
        <v>55</v>
      </c>
      <c r="C276" s="2" t="str">
        <f t="shared" si="28"/>
        <v>Oct</v>
      </c>
      <c r="D276" s="2" t="str">
        <f t="shared" si="29"/>
        <v>Off-Peak</v>
      </c>
      <c r="E276" s="2" t="str">
        <f t="shared" si="30"/>
        <v>Thu</v>
      </c>
      <c r="F276" s="8">
        <v>133</v>
      </c>
      <c r="G276" s="8">
        <v>150</v>
      </c>
      <c r="H276" s="9">
        <v>23481.96</v>
      </c>
      <c r="I276" s="10">
        <v>177.15</v>
      </c>
      <c r="J276" s="11">
        <f t="shared" si="31"/>
        <v>0.88666666666666671</v>
      </c>
      <c r="K276" s="10">
        <f t="shared" si="32"/>
        <v>176.55609022556391</v>
      </c>
      <c r="L276" s="10">
        <f t="shared" si="33"/>
        <v>156.54640000000001</v>
      </c>
      <c r="M276" s="5">
        <f t="shared" si="34"/>
        <v>-0.59390977443609927</v>
      </c>
      <c r="N276" s="1"/>
    </row>
    <row r="277" spans="1:14" x14ac:dyDescent="0.35">
      <c r="A277" s="6">
        <v>45933</v>
      </c>
      <c r="B277" s="7" t="s">
        <v>55</v>
      </c>
      <c r="C277" s="2" t="str">
        <f t="shared" si="28"/>
        <v>Oct</v>
      </c>
      <c r="D277" s="2" t="str">
        <f t="shared" si="29"/>
        <v>Off-Peak</v>
      </c>
      <c r="E277" s="2" t="str">
        <f t="shared" si="30"/>
        <v>Fri</v>
      </c>
      <c r="F277" s="8">
        <v>136</v>
      </c>
      <c r="G277" s="8">
        <v>150</v>
      </c>
      <c r="H277" s="9">
        <v>24450.54</v>
      </c>
      <c r="I277" s="10">
        <v>185.89</v>
      </c>
      <c r="J277" s="11">
        <f t="shared" si="31"/>
        <v>0.90666666666666662</v>
      </c>
      <c r="K277" s="10">
        <f t="shared" si="32"/>
        <v>179.78338235294117</v>
      </c>
      <c r="L277" s="10">
        <f t="shared" si="33"/>
        <v>163.00360000000001</v>
      </c>
      <c r="M277" s="5">
        <f t="shared" si="34"/>
        <v>-6.1066176470588118</v>
      </c>
      <c r="N277" s="1"/>
    </row>
    <row r="278" spans="1:14" x14ac:dyDescent="0.35">
      <c r="A278" s="6">
        <v>45934</v>
      </c>
      <c r="B278" s="7" t="s">
        <v>55</v>
      </c>
      <c r="C278" s="2" t="str">
        <f t="shared" si="28"/>
        <v>Oct</v>
      </c>
      <c r="D278" s="2" t="str">
        <f t="shared" si="29"/>
        <v>Off-Peak</v>
      </c>
      <c r="E278" s="2" t="str">
        <f t="shared" si="30"/>
        <v>Sat</v>
      </c>
      <c r="F278" s="8">
        <v>132</v>
      </c>
      <c r="G278" s="8">
        <v>150</v>
      </c>
      <c r="H278" s="9">
        <v>23562.32</v>
      </c>
      <c r="I278" s="10">
        <v>181.44</v>
      </c>
      <c r="J278" s="11">
        <f t="shared" si="31"/>
        <v>0.88</v>
      </c>
      <c r="K278" s="10">
        <f t="shared" si="32"/>
        <v>178.50242424242424</v>
      </c>
      <c r="L278" s="10">
        <f t="shared" si="33"/>
        <v>157.08213333333333</v>
      </c>
      <c r="M278" s="5">
        <f t="shared" si="34"/>
        <v>-2.9375757575757575</v>
      </c>
      <c r="N278" s="1"/>
    </row>
    <row r="279" spans="1:14" x14ac:dyDescent="0.35">
      <c r="A279" s="6">
        <v>45935</v>
      </c>
      <c r="B279" s="7" t="s">
        <v>55</v>
      </c>
      <c r="C279" s="2" t="str">
        <f t="shared" si="28"/>
        <v>Oct</v>
      </c>
      <c r="D279" s="2" t="str">
        <f t="shared" si="29"/>
        <v>Off-Peak</v>
      </c>
      <c r="E279" s="2" t="str">
        <f t="shared" si="30"/>
        <v>Sun</v>
      </c>
      <c r="F279" s="8">
        <v>116</v>
      </c>
      <c r="G279" s="8">
        <v>150</v>
      </c>
      <c r="H279" s="9">
        <v>19650.919999999998</v>
      </c>
      <c r="I279" s="10">
        <v>164.82</v>
      </c>
      <c r="J279" s="11">
        <f t="shared" si="31"/>
        <v>0.77333333333333332</v>
      </c>
      <c r="K279" s="10">
        <f t="shared" si="32"/>
        <v>169.40448275862067</v>
      </c>
      <c r="L279" s="10">
        <f t="shared" si="33"/>
        <v>131.00613333333331</v>
      </c>
      <c r="M279" s="5">
        <f t="shared" si="34"/>
        <v>4.5844827586206804</v>
      </c>
      <c r="N279" s="1"/>
    </row>
    <row r="280" spans="1:14" x14ac:dyDescent="0.35">
      <c r="A280" s="6">
        <v>45936</v>
      </c>
      <c r="B280" s="7" t="s">
        <v>55</v>
      </c>
      <c r="C280" s="2" t="str">
        <f t="shared" si="28"/>
        <v>Oct</v>
      </c>
      <c r="D280" s="2" t="str">
        <f t="shared" si="29"/>
        <v>Off-Peak</v>
      </c>
      <c r="E280" s="2" t="str">
        <f t="shared" si="30"/>
        <v>Mon</v>
      </c>
      <c r="F280" s="8">
        <v>113</v>
      </c>
      <c r="G280" s="8">
        <v>150</v>
      </c>
      <c r="H280" s="9">
        <v>17874.59</v>
      </c>
      <c r="I280" s="10">
        <v>166.45</v>
      </c>
      <c r="J280" s="11">
        <f t="shared" si="31"/>
        <v>0.7533333333333333</v>
      </c>
      <c r="K280" s="10">
        <f t="shared" si="32"/>
        <v>158.18221238938054</v>
      </c>
      <c r="L280" s="10">
        <f t="shared" si="33"/>
        <v>119.16393333333333</v>
      </c>
      <c r="M280" s="5">
        <f t="shared" si="34"/>
        <v>-8.2677876106194503</v>
      </c>
      <c r="N280" s="1"/>
    </row>
    <row r="281" spans="1:14" x14ac:dyDescent="0.35">
      <c r="A281" s="6">
        <v>45937</v>
      </c>
      <c r="B281" s="7" t="s">
        <v>55</v>
      </c>
      <c r="C281" s="2" t="str">
        <f t="shared" si="28"/>
        <v>Oct</v>
      </c>
      <c r="D281" s="2" t="str">
        <f t="shared" si="29"/>
        <v>Off-Peak</v>
      </c>
      <c r="E281" s="2" t="str">
        <f t="shared" si="30"/>
        <v>Tue</v>
      </c>
      <c r="F281" s="8">
        <v>119</v>
      </c>
      <c r="G281" s="8">
        <v>150</v>
      </c>
      <c r="H281" s="9">
        <v>20733.759999999998</v>
      </c>
      <c r="I281" s="10">
        <v>170.38</v>
      </c>
      <c r="J281" s="11">
        <f t="shared" si="31"/>
        <v>0.79333333333333333</v>
      </c>
      <c r="K281" s="10">
        <f t="shared" si="32"/>
        <v>174.23327731092436</v>
      </c>
      <c r="L281" s="10">
        <f t="shared" si="33"/>
        <v>138.22506666666666</v>
      </c>
      <c r="M281" s="5">
        <f t="shared" si="34"/>
        <v>3.8532773109243692</v>
      </c>
      <c r="N281" s="1"/>
    </row>
    <row r="282" spans="1:14" x14ac:dyDescent="0.35">
      <c r="A282" s="6">
        <v>45938</v>
      </c>
      <c r="B282" s="7" t="s">
        <v>55</v>
      </c>
      <c r="C282" s="2" t="str">
        <f t="shared" si="28"/>
        <v>Oct</v>
      </c>
      <c r="D282" s="2" t="str">
        <f t="shared" si="29"/>
        <v>Off-Peak</v>
      </c>
      <c r="E282" s="2" t="str">
        <f t="shared" si="30"/>
        <v>Wed</v>
      </c>
      <c r="F282" s="8">
        <v>124</v>
      </c>
      <c r="G282" s="8">
        <v>150</v>
      </c>
      <c r="H282" s="9">
        <v>22094.99</v>
      </c>
      <c r="I282" s="10">
        <v>173.45</v>
      </c>
      <c r="J282" s="11">
        <f t="shared" si="31"/>
        <v>0.82666666666666666</v>
      </c>
      <c r="K282" s="10">
        <f t="shared" si="32"/>
        <v>178.18540322580645</v>
      </c>
      <c r="L282" s="10">
        <f t="shared" si="33"/>
        <v>147.29993333333334</v>
      </c>
      <c r="M282" s="5">
        <f t="shared" si="34"/>
        <v>4.7354032258064649</v>
      </c>
      <c r="N282" s="1"/>
    </row>
    <row r="283" spans="1:14" x14ac:dyDescent="0.35">
      <c r="A283" s="6">
        <v>45939</v>
      </c>
      <c r="B283" s="7" t="s">
        <v>55</v>
      </c>
      <c r="C283" s="2" t="str">
        <f t="shared" si="28"/>
        <v>Oct</v>
      </c>
      <c r="D283" s="2" t="str">
        <f t="shared" si="29"/>
        <v>Off-Peak</v>
      </c>
      <c r="E283" s="2" t="str">
        <f t="shared" si="30"/>
        <v>Thu</v>
      </c>
      <c r="F283" s="8">
        <v>128</v>
      </c>
      <c r="G283" s="8">
        <v>150</v>
      </c>
      <c r="H283" s="9">
        <v>21585.31</v>
      </c>
      <c r="I283" s="10">
        <v>177.42</v>
      </c>
      <c r="J283" s="11">
        <f t="shared" si="31"/>
        <v>0.85333333333333339</v>
      </c>
      <c r="K283" s="10">
        <f t="shared" si="32"/>
        <v>168.63523437500001</v>
      </c>
      <c r="L283" s="10">
        <f t="shared" si="33"/>
        <v>143.90206666666668</v>
      </c>
      <c r="M283" s="5">
        <f t="shared" si="34"/>
        <v>-8.7847656249999773</v>
      </c>
      <c r="N283" s="1"/>
    </row>
    <row r="284" spans="1:14" x14ac:dyDescent="0.35">
      <c r="A284" s="6">
        <v>45940</v>
      </c>
      <c r="B284" s="7" t="s">
        <v>55</v>
      </c>
      <c r="C284" s="2" t="str">
        <f t="shared" si="28"/>
        <v>Oct</v>
      </c>
      <c r="D284" s="2" t="str">
        <f t="shared" si="29"/>
        <v>Off-Peak</v>
      </c>
      <c r="E284" s="2" t="str">
        <f t="shared" si="30"/>
        <v>Fri</v>
      </c>
      <c r="F284" s="8">
        <v>134</v>
      </c>
      <c r="G284" s="8">
        <v>150</v>
      </c>
      <c r="H284" s="9">
        <v>24882.91</v>
      </c>
      <c r="I284" s="10">
        <v>184.83</v>
      </c>
      <c r="J284" s="11">
        <f t="shared" si="31"/>
        <v>0.89333333333333331</v>
      </c>
      <c r="K284" s="10">
        <f t="shared" si="32"/>
        <v>185.69335820895523</v>
      </c>
      <c r="L284" s="10">
        <f t="shared" si="33"/>
        <v>165.88606666666666</v>
      </c>
      <c r="M284" s="5">
        <f t="shared" si="34"/>
        <v>0.8633582089552192</v>
      </c>
      <c r="N284" s="1"/>
    </row>
    <row r="285" spans="1:14" x14ac:dyDescent="0.35">
      <c r="A285" s="6">
        <v>45941</v>
      </c>
      <c r="B285" s="7" t="s">
        <v>55</v>
      </c>
      <c r="C285" s="2" t="str">
        <f t="shared" si="28"/>
        <v>Oct</v>
      </c>
      <c r="D285" s="2" t="str">
        <f t="shared" si="29"/>
        <v>Off-Peak</v>
      </c>
      <c r="E285" s="2" t="str">
        <f t="shared" si="30"/>
        <v>Sat</v>
      </c>
      <c r="F285" s="8">
        <v>131</v>
      </c>
      <c r="G285" s="8">
        <v>150</v>
      </c>
      <c r="H285" s="9">
        <v>25574.69</v>
      </c>
      <c r="I285" s="10">
        <v>183.39</v>
      </c>
      <c r="J285" s="11">
        <f t="shared" si="31"/>
        <v>0.87333333333333329</v>
      </c>
      <c r="K285" s="10">
        <f t="shared" si="32"/>
        <v>195.22664122137402</v>
      </c>
      <c r="L285" s="10">
        <f t="shared" si="33"/>
        <v>170.49793333333332</v>
      </c>
      <c r="M285" s="5">
        <f t="shared" si="34"/>
        <v>11.836641221374038</v>
      </c>
      <c r="N285" s="1"/>
    </row>
    <row r="286" spans="1:14" x14ac:dyDescent="0.35">
      <c r="A286" s="6">
        <v>45942</v>
      </c>
      <c r="B286" s="7" t="s">
        <v>55</v>
      </c>
      <c r="C286" s="2" t="str">
        <f t="shared" si="28"/>
        <v>Oct</v>
      </c>
      <c r="D286" s="2" t="str">
        <f t="shared" si="29"/>
        <v>Off-Peak</v>
      </c>
      <c r="E286" s="2" t="str">
        <f t="shared" si="30"/>
        <v>Sun</v>
      </c>
      <c r="F286" s="8">
        <v>114</v>
      </c>
      <c r="G286" s="8">
        <v>150</v>
      </c>
      <c r="H286" s="9">
        <v>18460.28</v>
      </c>
      <c r="I286" s="10">
        <v>166.82</v>
      </c>
      <c r="J286" s="11">
        <f t="shared" si="31"/>
        <v>0.76</v>
      </c>
      <c r="K286" s="10">
        <f t="shared" si="32"/>
        <v>161.93228070175437</v>
      </c>
      <c r="L286" s="10">
        <f t="shared" si="33"/>
        <v>123.06853333333332</v>
      </c>
      <c r="M286" s="5">
        <f t="shared" si="34"/>
        <v>-4.8877192982456279</v>
      </c>
      <c r="N286" s="1"/>
    </row>
    <row r="287" spans="1:14" x14ac:dyDescent="0.35">
      <c r="A287" s="6">
        <v>45943</v>
      </c>
      <c r="B287" s="7" t="s">
        <v>55</v>
      </c>
      <c r="C287" s="2" t="str">
        <f t="shared" si="28"/>
        <v>Oct</v>
      </c>
      <c r="D287" s="2" t="str">
        <f t="shared" si="29"/>
        <v>Off-Peak</v>
      </c>
      <c r="E287" s="2" t="str">
        <f t="shared" si="30"/>
        <v>Mon</v>
      </c>
      <c r="F287" s="8">
        <v>112</v>
      </c>
      <c r="G287" s="8">
        <v>150</v>
      </c>
      <c r="H287" s="9">
        <v>18743.400000000001</v>
      </c>
      <c r="I287" s="10">
        <v>168.79</v>
      </c>
      <c r="J287" s="11">
        <f t="shared" si="31"/>
        <v>0.7466666666666667</v>
      </c>
      <c r="K287" s="10">
        <f t="shared" si="32"/>
        <v>167.35178571428574</v>
      </c>
      <c r="L287" s="10">
        <f t="shared" si="33"/>
        <v>124.956</v>
      </c>
      <c r="M287" s="5">
        <f t="shared" si="34"/>
        <v>-1.4382142857142526</v>
      </c>
      <c r="N287" s="1"/>
    </row>
    <row r="288" spans="1:14" x14ac:dyDescent="0.35">
      <c r="A288" s="6">
        <v>45944</v>
      </c>
      <c r="B288" s="7" t="s">
        <v>55</v>
      </c>
      <c r="C288" s="2" t="str">
        <f t="shared" si="28"/>
        <v>Oct</v>
      </c>
      <c r="D288" s="2" t="str">
        <f t="shared" si="29"/>
        <v>Off-Peak</v>
      </c>
      <c r="E288" s="2" t="str">
        <f t="shared" si="30"/>
        <v>Tue</v>
      </c>
      <c r="F288" s="8">
        <v>119</v>
      </c>
      <c r="G288" s="8">
        <v>150</v>
      </c>
      <c r="H288" s="9">
        <v>19404.509999999998</v>
      </c>
      <c r="I288" s="10">
        <v>168.11</v>
      </c>
      <c r="J288" s="11">
        <f t="shared" si="31"/>
        <v>0.79333333333333333</v>
      </c>
      <c r="K288" s="10">
        <f t="shared" si="32"/>
        <v>163.06310924369745</v>
      </c>
      <c r="L288" s="10">
        <f t="shared" si="33"/>
        <v>129.36339999999998</v>
      </c>
      <c r="M288" s="5">
        <f t="shared" si="34"/>
        <v>-5.0468907563025596</v>
      </c>
      <c r="N288" s="1"/>
    </row>
    <row r="289" spans="1:14" x14ac:dyDescent="0.35">
      <c r="A289" s="6">
        <v>45945</v>
      </c>
      <c r="B289" s="7" t="s">
        <v>55</v>
      </c>
      <c r="C289" s="2" t="str">
        <f t="shared" si="28"/>
        <v>Oct</v>
      </c>
      <c r="D289" s="2" t="str">
        <f t="shared" si="29"/>
        <v>Off-Peak</v>
      </c>
      <c r="E289" s="2" t="str">
        <f t="shared" si="30"/>
        <v>Wed</v>
      </c>
      <c r="F289" s="8">
        <v>122</v>
      </c>
      <c r="G289" s="8">
        <v>150</v>
      </c>
      <c r="H289" s="9">
        <v>20055.71</v>
      </c>
      <c r="I289" s="10">
        <v>176.02</v>
      </c>
      <c r="J289" s="11">
        <f t="shared" si="31"/>
        <v>0.81333333333333335</v>
      </c>
      <c r="K289" s="10">
        <f t="shared" si="32"/>
        <v>164.39106557377048</v>
      </c>
      <c r="L289" s="10">
        <f t="shared" si="33"/>
        <v>133.70473333333334</v>
      </c>
      <c r="M289" s="5">
        <f t="shared" si="34"/>
        <v>-11.628934426229534</v>
      </c>
      <c r="N289" s="1"/>
    </row>
    <row r="290" spans="1:14" x14ac:dyDescent="0.35">
      <c r="A290" s="6">
        <v>45946</v>
      </c>
      <c r="B290" s="7" t="s">
        <v>55</v>
      </c>
      <c r="C290" s="2" t="str">
        <f t="shared" si="28"/>
        <v>Oct</v>
      </c>
      <c r="D290" s="2" t="str">
        <f t="shared" si="29"/>
        <v>Off-Peak</v>
      </c>
      <c r="E290" s="2" t="str">
        <f t="shared" si="30"/>
        <v>Thu</v>
      </c>
      <c r="F290" s="8">
        <v>126</v>
      </c>
      <c r="G290" s="8">
        <v>150</v>
      </c>
      <c r="H290" s="9">
        <v>22180.22</v>
      </c>
      <c r="I290" s="10">
        <v>177.99</v>
      </c>
      <c r="J290" s="11">
        <f t="shared" si="31"/>
        <v>0.84</v>
      </c>
      <c r="K290" s="10">
        <f t="shared" si="32"/>
        <v>176.03349206349208</v>
      </c>
      <c r="L290" s="10">
        <f t="shared" si="33"/>
        <v>147.86813333333333</v>
      </c>
      <c r="M290" s="5">
        <f t="shared" si="34"/>
        <v>-1.9565079365079328</v>
      </c>
      <c r="N290" s="1"/>
    </row>
    <row r="291" spans="1:14" x14ac:dyDescent="0.35">
      <c r="A291" s="6">
        <v>45947</v>
      </c>
      <c r="B291" s="7" t="s">
        <v>55</v>
      </c>
      <c r="C291" s="2" t="str">
        <f t="shared" si="28"/>
        <v>Oct</v>
      </c>
      <c r="D291" s="2" t="str">
        <f t="shared" si="29"/>
        <v>Off-Peak</v>
      </c>
      <c r="E291" s="2" t="str">
        <f t="shared" si="30"/>
        <v>Fri</v>
      </c>
      <c r="F291" s="8">
        <v>131</v>
      </c>
      <c r="G291" s="8">
        <v>150</v>
      </c>
      <c r="H291" s="9">
        <v>23260.02</v>
      </c>
      <c r="I291" s="10">
        <v>179.43</v>
      </c>
      <c r="J291" s="11">
        <f t="shared" si="31"/>
        <v>0.87333333333333329</v>
      </c>
      <c r="K291" s="10">
        <f t="shared" si="32"/>
        <v>177.55740458015268</v>
      </c>
      <c r="L291" s="10">
        <f t="shared" si="33"/>
        <v>155.0668</v>
      </c>
      <c r="M291" s="5">
        <f t="shared" si="34"/>
        <v>-1.8725954198473289</v>
      </c>
      <c r="N291" s="1"/>
    </row>
    <row r="292" spans="1:14" x14ac:dyDescent="0.35">
      <c r="A292" s="6">
        <v>45948</v>
      </c>
      <c r="B292" s="7" t="s">
        <v>55</v>
      </c>
      <c r="C292" s="2" t="str">
        <f t="shared" si="28"/>
        <v>Oct</v>
      </c>
      <c r="D292" s="2" t="str">
        <f t="shared" si="29"/>
        <v>Off-Peak</v>
      </c>
      <c r="E292" s="2" t="str">
        <f t="shared" si="30"/>
        <v>Sat</v>
      </c>
      <c r="F292" s="8">
        <v>130</v>
      </c>
      <c r="G292" s="8">
        <v>150</v>
      </c>
      <c r="H292" s="9">
        <v>23650.95</v>
      </c>
      <c r="I292" s="10">
        <v>181.6</v>
      </c>
      <c r="J292" s="11">
        <f t="shared" si="31"/>
        <v>0.8666666666666667</v>
      </c>
      <c r="K292" s="10">
        <f t="shared" si="32"/>
        <v>181.93038461538461</v>
      </c>
      <c r="L292" s="10">
        <f t="shared" si="33"/>
        <v>157.673</v>
      </c>
      <c r="M292" s="5">
        <f t="shared" si="34"/>
        <v>0.33038461538461661</v>
      </c>
      <c r="N292" s="1"/>
    </row>
    <row r="293" spans="1:14" x14ac:dyDescent="0.35">
      <c r="A293" s="6">
        <v>45949</v>
      </c>
      <c r="B293" s="7" t="s">
        <v>55</v>
      </c>
      <c r="C293" s="2" t="str">
        <f t="shared" si="28"/>
        <v>Oct</v>
      </c>
      <c r="D293" s="2" t="str">
        <f t="shared" si="29"/>
        <v>Off-Peak</v>
      </c>
      <c r="E293" s="2" t="str">
        <f t="shared" si="30"/>
        <v>Sun</v>
      </c>
      <c r="F293" s="8">
        <v>115</v>
      </c>
      <c r="G293" s="8">
        <v>150</v>
      </c>
      <c r="H293" s="9">
        <v>18539.41</v>
      </c>
      <c r="I293" s="10">
        <v>165.42</v>
      </c>
      <c r="J293" s="11">
        <f t="shared" si="31"/>
        <v>0.76666666666666672</v>
      </c>
      <c r="K293" s="10">
        <f t="shared" si="32"/>
        <v>161.21226086956523</v>
      </c>
      <c r="L293" s="10">
        <f t="shared" si="33"/>
        <v>123.59606666666667</v>
      </c>
      <c r="M293" s="5">
        <f t="shared" si="34"/>
        <v>-4.20773913043476</v>
      </c>
      <c r="N293" s="1"/>
    </row>
    <row r="294" spans="1:14" x14ac:dyDescent="0.35">
      <c r="A294" s="6">
        <v>45950</v>
      </c>
      <c r="B294" s="7" t="s">
        <v>55</v>
      </c>
      <c r="C294" s="2" t="str">
        <f t="shared" si="28"/>
        <v>Oct</v>
      </c>
      <c r="D294" s="2" t="str">
        <f t="shared" si="29"/>
        <v>Off-Peak</v>
      </c>
      <c r="E294" s="2" t="str">
        <f t="shared" si="30"/>
        <v>Mon</v>
      </c>
      <c r="F294" s="8">
        <v>112</v>
      </c>
      <c r="G294" s="8">
        <v>150</v>
      </c>
      <c r="H294" s="9">
        <v>18031.46</v>
      </c>
      <c r="I294" s="10">
        <v>167.64</v>
      </c>
      <c r="J294" s="11">
        <f t="shared" si="31"/>
        <v>0.7466666666666667</v>
      </c>
      <c r="K294" s="10">
        <f t="shared" si="32"/>
        <v>160.99517857142857</v>
      </c>
      <c r="L294" s="10">
        <f t="shared" si="33"/>
        <v>120.20973333333333</v>
      </c>
      <c r="M294" s="5">
        <f t="shared" si="34"/>
        <v>-6.6448214285714187</v>
      </c>
      <c r="N294" s="1"/>
    </row>
    <row r="295" spans="1:14" x14ac:dyDescent="0.35">
      <c r="A295" s="6">
        <v>45951</v>
      </c>
      <c r="B295" s="7" t="s">
        <v>55</v>
      </c>
      <c r="C295" s="2" t="str">
        <f t="shared" si="28"/>
        <v>Oct</v>
      </c>
      <c r="D295" s="2" t="str">
        <f t="shared" si="29"/>
        <v>Off-Peak</v>
      </c>
      <c r="E295" s="2" t="str">
        <f t="shared" si="30"/>
        <v>Tue</v>
      </c>
      <c r="F295" s="8">
        <v>121</v>
      </c>
      <c r="G295" s="8">
        <v>150</v>
      </c>
      <c r="H295" s="9">
        <v>20137.86</v>
      </c>
      <c r="I295" s="10">
        <v>171.75</v>
      </c>
      <c r="J295" s="11">
        <f t="shared" si="31"/>
        <v>0.80666666666666664</v>
      </c>
      <c r="K295" s="10">
        <f t="shared" si="32"/>
        <v>166.42859504132232</v>
      </c>
      <c r="L295" s="10">
        <f t="shared" si="33"/>
        <v>134.25239999999999</v>
      </c>
      <c r="M295" s="5">
        <f t="shared" si="34"/>
        <v>-5.3214049586776753</v>
      </c>
      <c r="N295" s="1"/>
    </row>
    <row r="296" spans="1:14" x14ac:dyDescent="0.35">
      <c r="A296" s="6">
        <v>45952</v>
      </c>
      <c r="B296" s="7" t="s">
        <v>55</v>
      </c>
      <c r="C296" s="2" t="str">
        <f t="shared" si="28"/>
        <v>Oct</v>
      </c>
      <c r="D296" s="2" t="str">
        <f t="shared" si="29"/>
        <v>Off-Peak</v>
      </c>
      <c r="E296" s="2" t="str">
        <f t="shared" si="30"/>
        <v>Wed</v>
      </c>
      <c r="F296" s="8">
        <v>126</v>
      </c>
      <c r="G296" s="8">
        <v>150</v>
      </c>
      <c r="H296" s="9">
        <v>21199.49</v>
      </c>
      <c r="I296" s="10">
        <v>172.87</v>
      </c>
      <c r="J296" s="11">
        <f t="shared" si="31"/>
        <v>0.84</v>
      </c>
      <c r="K296" s="10">
        <f t="shared" si="32"/>
        <v>168.24992063492064</v>
      </c>
      <c r="L296" s="10">
        <f t="shared" si="33"/>
        <v>141.32993333333334</v>
      </c>
      <c r="M296" s="5">
        <f t="shared" si="34"/>
        <v>-4.6200793650793628</v>
      </c>
      <c r="N296" s="1"/>
    </row>
    <row r="297" spans="1:14" x14ac:dyDescent="0.35">
      <c r="A297" s="6">
        <v>45953</v>
      </c>
      <c r="B297" s="7" t="s">
        <v>55</v>
      </c>
      <c r="C297" s="2" t="str">
        <f t="shared" si="28"/>
        <v>Oct</v>
      </c>
      <c r="D297" s="2" t="str">
        <f t="shared" si="29"/>
        <v>Off-Peak</v>
      </c>
      <c r="E297" s="2" t="str">
        <f t="shared" si="30"/>
        <v>Thu</v>
      </c>
      <c r="F297" s="8">
        <v>129</v>
      </c>
      <c r="G297" s="8">
        <v>150</v>
      </c>
      <c r="H297" s="9">
        <v>22173.99</v>
      </c>
      <c r="I297" s="10">
        <v>174.59</v>
      </c>
      <c r="J297" s="11">
        <f t="shared" si="31"/>
        <v>0.86</v>
      </c>
      <c r="K297" s="10">
        <f t="shared" si="32"/>
        <v>171.89139534883722</v>
      </c>
      <c r="L297" s="10">
        <f t="shared" si="33"/>
        <v>147.82660000000001</v>
      </c>
      <c r="M297" s="5">
        <f t="shared" si="34"/>
        <v>-2.6986046511627819</v>
      </c>
      <c r="N297" s="1"/>
    </row>
    <row r="298" spans="1:14" x14ac:dyDescent="0.35">
      <c r="A298" s="6">
        <v>45954</v>
      </c>
      <c r="B298" s="7" t="s">
        <v>55</v>
      </c>
      <c r="C298" s="2" t="str">
        <f t="shared" si="28"/>
        <v>Oct</v>
      </c>
      <c r="D298" s="2" t="str">
        <f t="shared" si="29"/>
        <v>Off-Peak</v>
      </c>
      <c r="E298" s="2" t="str">
        <f t="shared" si="30"/>
        <v>Fri</v>
      </c>
      <c r="F298" s="8">
        <v>145</v>
      </c>
      <c r="G298" s="8">
        <v>150</v>
      </c>
      <c r="H298" s="9">
        <v>32829.269999999997</v>
      </c>
      <c r="I298" s="10">
        <v>208.32</v>
      </c>
      <c r="J298" s="11">
        <f t="shared" si="31"/>
        <v>0.96666666666666667</v>
      </c>
      <c r="K298" s="10">
        <f t="shared" si="32"/>
        <v>226.40875862068964</v>
      </c>
      <c r="L298" s="10">
        <f t="shared" si="33"/>
        <v>218.86179999999999</v>
      </c>
      <c r="M298" s="5">
        <f t="shared" si="34"/>
        <v>18.088758620689646</v>
      </c>
      <c r="N298" s="1" t="s">
        <v>20</v>
      </c>
    </row>
    <row r="299" spans="1:14" x14ac:dyDescent="0.35">
      <c r="A299" s="6">
        <v>45955</v>
      </c>
      <c r="B299" s="7" t="s">
        <v>55</v>
      </c>
      <c r="C299" s="2" t="str">
        <f t="shared" si="28"/>
        <v>Oct</v>
      </c>
      <c r="D299" s="2" t="str">
        <f t="shared" si="29"/>
        <v>Off-Peak</v>
      </c>
      <c r="E299" s="2" t="str">
        <f t="shared" si="30"/>
        <v>Sat</v>
      </c>
      <c r="F299" s="8">
        <v>148</v>
      </c>
      <c r="G299" s="8">
        <v>150</v>
      </c>
      <c r="H299" s="9">
        <v>32961.480000000003</v>
      </c>
      <c r="I299" s="10">
        <v>209.29</v>
      </c>
      <c r="J299" s="11">
        <f t="shared" si="31"/>
        <v>0.98666666666666669</v>
      </c>
      <c r="K299" s="10">
        <f t="shared" si="32"/>
        <v>222.71270270270273</v>
      </c>
      <c r="L299" s="10">
        <f t="shared" si="33"/>
        <v>219.74320000000003</v>
      </c>
      <c r="M299" s="5">
        <f t="shared" si="34"/>
        <v>13.422702702702736</v>
      </c>
      <c r="N299" s="1" t="s">
        <v>20</v>
      </c>
    </row>
    <row r="300" spans="1:14" x14ac:dyDescent="0.35">
      <c r="A300" s="6">
        <v>45956</v>
      </c>
      <c r="B300" s="7" t="s">
        <v>55</v>
      </c>
      <c r="C300" s="2" t="str">
        <f t="shared" si="28"/>
        <v>Oct</v>
      </c>
      <c r="D300" s="2" t="str">
        <f t="shared" si="29"/>
        <v>Off-Peak</v>
      </c>
      <c r="E300" s="2" t="str">
        <f t="shared" si="30"/>
        <v>Sun</v>
      </c>
      <c r="F300" s="8">
        <v>126</v>
      </c>
      <c r="G300" s="8">
        <v>150</v>
      </c>
      <c r="H300" s="9">
        <v>24441.5</v>
      </c>
      <c r="I300" s="10">
        <v>191.95</v>
      </c>
      <c r="J300" s="11">
        <f t="shared" si="31"/>
        <v>0.84</v>
      </c>
      <c r="K300" s="10">
        <f t="shared" si="32"/>
        <v>193.98015873015873</v>
      </c>
      <c r="L300" s="10">
        <f t="shared" si="33"/>
        <v>162.94333333333333</v>
      </c>
      <c r="M300" s="5">
        <f t="shared" si="34"/>
        <v>2.030158730158746</v>
      </c>
      <c r="N300" s="1" t="s">
        <v>20</v>
      </c>
    </row>
    <row r="301" spans="1:14" x14ac:dyDescent="0.35">
      <c r="A301" s="6">
        <v>45957</v>
      </c>
      <c r="B301" s="7" t="s">
        <v>55</v>
      </c>
      <c r="C301" s="2" t="str">
        <f t="shared" si="28"/>
        <v>Oct</v>
      </c>
      <c r="D301" s="2" t="str">
        <f t="shared" si="29"/>
        <v>Off-Peak</v>
      </c>
      <c r="E301" s="2" t="str">
        <f t="shared" si="30"/>
        <v>Mon</v>
      </c>
      <c r="F301" s="8">
        <v>127</v>
      </c>
      <c r="G301" s="8">
        <v>150</v>
      </c>
      <c r="H301" s="9">
        <v>24842.68</v>
      </c>
      <c r="I301" s="10">
        <v>194.95</v>
      </c>
      <c r="J301" s="11">
        <f t="shared" si="31"/>
        <v>0.84666666666666668</v>
      </c>
      <c r="K301" s="10">
        <f t="shared" si="32"/>
        <v>195.61165354330709</v>
      </c>
      <c r="L301" s="10">
        <f t="shared" si="33"/>
        <v>165.61786666666666</v>
      </c>
      <c r="M301" s="5">
        <f t="shared" si="34"/>
        <v>0.66165354330709647</v>
      </c>
      <c r="N301" s="1" t="s">
        <v>20</v>
      </c>
    </row>
    <row r="302" spans="1:14" x14ac:dyDescent="0.35">
      <c r="A302" s="6">
        <v>45958</v>
      </c>
      <c r="B302" s="7" t="s">
        <v>55</v>
      </c>
      <c r="C302" s="2" t="str">
        <f t="shared" si="28"/>
        <v>Oct</v>
      </c>
      <c r="D302" s="2" t="str">
        <f t="shared" si="29"/>
        <v>Off-Peak</v>
      </c>
      <c r="E302" s="2" t="str">
        <f t="shared" si="30"/>
        <v>Tue</v>
      </c>
      <c r="F302" s="8">
        <v>128</v>
      </c>
      <c r="G302" s="8">
        <v>150</v>
      </c>
      <c r="H302" s="9">
        <v>21768.83</v>
      </c>
      <c r="I302" s="10">
        <v>170.17</v>
      </c>
      <c r="J302" s="11">
        <f t="shared" si="31"/>
        <v>0.85333333333333339</v>
      </c>
      <c r="K302" s="10">
        <f t="shared" si="32"/>
        <v>170.06898437500001</v>
      </c>
      <c r="L302" s="10">
        <f t="shared" si="33"/>
        <v>145.12553333333335</v>
      </c>
      <c r="M302" s="5">
        <f t="shared" si="34"/>
        <v>-0.10101562499997385</v>
      </c>
      <c r="N302" s="1"/>
    </row>
    <row r="303" spans="1:14" x14ac:dyDescent="0.35">
      <c r="A303" s="6">
        <v>45959</v>
      </c>
      <c r="B303" s="7" t="s">
        <v>55</v>
      </c>
      <c r="C303" s="2" t="str">
        <f t="shared" si="28"/>
        <v>Oct</v>
      </c>
      <c r="D303" s="2" t="str">
        <f t="shared" si="29"/>
        <v>Off-Peak</v>
      </c>
      <c r="E303" s="2" t="str">
        <f t="shared" si="30"/>
        <v>Wed</v>
      </c>
      <c r="F303" s="8">
        <v>133</v>
      </c>
      <c r="G303" s="8">
        <v>150</v>
      </c>
      <c r="H303" s="9">
        <v>24202.59</v>
      </c>
      <c r="I303" s="10">
        <v>172.09</v>
      </c>
      <c r="J303" s="11">
        <f t="shared" si="31"/>
        <v>0.88666666666666671</v>
      </c>
      <c r="K303" s="10">
        <f t="shared" si="32"/>
        <v>181.97436090225565</v>
      </c>
      <c r="L303" s="10">
        <f t="shared" si="33"/>
        <v>161.35060000000001</v>
      </c>
      <c r="M303" s="5">
        <f t="shared" si="34"/>
        <v>9.8843609022556507</v>
      </c>
      <c r="N303" s="1"/>
    </row>
    <row r="304" spans="1:14" x14ac:dyDescent="0.35">
      <c r="A304" s="6">
        <v>45960</v>
      </c>
      <c r="B304" s="7" t="s">
        <v>55</v>
      </c>
      <c r="C304" s="2" t="str">
        <f t="shared" si="28"/>
        <v>Oct</v>
      </c>
      <c r="D304" s="2" t="str">
        <f t="shared" si="29"/>
        <v>Off-Peak</v>
      </c>
      <c r="E304" s="2" t="str">
        <f t="shared" si="30"/>
        <v>Thu</v>
      </c>
      <c r="F304" s="8">
        <v>127</v>
      </c>
      <c r="G304" s="8">
        <v>150</v>
      </c>
      <c r="H304" s="9">
        <v>21191.58</v>
      </c>
      <c r="I304" s="10">
        <v>174.5</v>
      </c>
      <c r="J304" s="11">
        <f t="shared" si="31"/>
        <v>0.84666666666666668</v>
      </c>
      <c r="K304" s="10">
        <f t="shared" si="32"/>
        <v>166.8628346456693</v>
      </c>
      <c r="L304" s="10">
        <f t="shared" si="33"/>
        <v>141.27720000000002</v>
      </c>
      <c r="M304" s="5">
        <f t="shared" si="34"/>
        <v>-7.6371653543307048</v>
      </c>
      <c r="N304" s="1"/>
    </row>
    <row r="305" spans="1:14" x14ac:dyDescent="0.35">
      <c r="A305" s="6">
        <v>45961</v>
      </c>
      <c r="B305" s="7" t="s">
        <v>55</v>
      </c>
      <c r="C305" s="2" t="str">
        <f t="shared" si="28"/>
        <v>Oct</v>
      </c>
      <c r="D305" s="2" t="str">
        <f t="shared" si="29"/>
        <v>Off-Peak</v>
      </c>
      <c r="E305" s="2" t="str">
        <f t="shared" si="30"/>
        <v>Fri</v>
      </c>
      <c r="F305" s="8">
        <v>148</v>
      </c>
      <c r="G305" s="8">
        <v>150</v>
      </c>
      <c r="H305" s="9">
        <v>31576.34</v>
      </c>
      <c r="I305" s="10">
        <v>207.18</v>
      </c>
      <c r="J305" s="11">
        <f t="shared" si="31"/>
        <v>0.98666666666666669</v>
      </c>
      <c r="K305" s="10">
        <f t="shared" si="32"/>
        <v>213.35364864864866</v>
      </c>
      <c r="L305" s="10">
        <f t="shared" si="33"/>
        <v>210.50893333333335</v>
      </c>
      <c r="M305" s="5">
        <f t="shared" si="34"/>
        <v>6.1736486486486513</v>
      </c>
      <c r="N305" s="1" t="s">
        <v>21</v>
      </c>
    </row>
    <row r="306" spans="1:14" x14ac:dyDescent="0.35">
      <c r="A306" s="6">
        <v>45962</v>
      </c>
      <c r="B306" s="7" t="s">
        <v>55</v>
      </c>
      <c r="C306" s="2" t="str">
        <f t="shared" si="28"/>
        <v>Nov</v>
      </c>
      <c r="D306" s="2" t="str">
        <f t="shared" si="29"/>
        <v>Off-Peak</v>
      </c>
      <c r="E306" s="2" t="str">
        <f t="shared" si="30"/>
        <v>Sat</v>
      </c>
      <c r="F306" s="8">
        <v>140</v>
      </c>
      <c r="G306" s="8">
        <v>150</v>
      </c>
      <c r="H306" s="9">
        <v>27813.65</v>
      </c>
      <c r="I306" s="10">
        <v>188.23</v>
      </c>
      <c r="J306" s="11">
        <f t="shared" si="31"/>
        <v>0.93333333333333335</v>
      </c>
      <c r="K306" s="10">
        <f t="shared" si="32"/>
        <v>198.66892857142858</v>
      </c>
      <c r="L306" s="10">
        <f t="shared" si="33"/>
        <v>185.42433333333335</v>
      </c>
      <c r="M306" s="5">
        <f t="shared" si="34"/>
        <v>10.43892857142859</v>
      </c>
      <c r="N306" s="1" t="s">
        <v>21</v>
      </c>
    </row>
    <row r="307" spans="1:14" x14ac:dyDescent="0.35">
      <c r="A307" s="6">
        <v>45963</v>
      </c>
      <c r="B307" s="7" t="s">
        <v>55</v>
      </c>
      <c r="C307" s="2" t="str">
        <f t="shared" si="28"/>
        <v>Nov</v>
      </c>
      <c r="D307" s="2" t="str">
        <f t="shared" si="29"/>
        <v>Off-Peak</v>
      </c>
      <c r="E307" s="2" t="str">
        <f t="shared" si="30"/>
        <v>Sun</v>
      </c>
      <c r="F307" s="8">
        <v>111</v>
      </c>
      <c r="G307" s="8">
        <v>150</v>
      </c>
      <c r="H307" s="9">
        <v>18955.96</v>
      </c>
      <c r="I307" s="10">
        <v>170.58</v>
      </c>
      <c r="J307" s="11">
        <f t="shared" si="31"/>
        <v>0.74</v>
      </c>
      <c r="K307" s="10">
        <f t="shared" si="32"/>
        <v>170.77441441441439</v>
      </c>
      <c r="L307" s="10">
        <f t="shared" si="33"/>
        <v>126.37306666666666</v>
      </c>
      <c r="M307" s="5">
        <f t="shared" si="34"/>
        <v>0.19441441441438201</v>
      </c>
      <c r="N307" s="1" t="s">
        <v>21</v>
      </c>
    </row>
    <row r="308" spans="1:14" x14ac:dyDescent="0.35">
      <c r="A308" s="6">
        <v>45964</v>
      </c>
      <c r="B308" s="7" t="s">
        <v>55</v>
      </c>
      <c r="C308" s="2" t="str">
        <f t="shared" si="28"/>
        <v>Nov</v>
      </c>
      <c r="D308" s="2" t="str">
        <f t="shared" si="29"/>
        <v>Off-Peak</v>
      </c>
      <c r="E308" s="2" t="str">
        <f t="shared" si="30"/>
        <v>Mon</v>
      </c>
      <c r="F308" s="8">
        <v>100</v>
      </c>
      <c r="G308" s="8">
        <v>150</v>
      </c>
      <c r="H308" s="9">
        <v>14735.77</v>
      </c>
      <c r="I308" s="10">
        <v>148.13999999999999</v>
      </c>
      <c r="J308" s="11">
        <f t="shared" si="31"/>
        <v>0.66666666666666663</v>
      </c>
      <c r="K308" s="10">
        <f t="shared" si="32"/>
        <v>147.35769999999999</v>
      </c>
      <c r="L308" s="10">
        <f t="shared" si="33"/>
        <v>98.238466666666667</v>
      </c>
      <c r="M308" s="5">
        <f t="shared" si="34"/>
        <v>-0.78229999999999222</v>
      </c>
      <c r="N308" s="1"/>
    </row>
    <row r="309" spans="1:14" x14ac:dyDescent="0.35">
      <c r="A309" s="6">
        <v>45965</v>
      </c>
      <c r="B309" s="7" t="s">
        <v>55</v>
      </c>
      <c r="C309" s="2" t="str">
        <f t="shared" si="28"/>
        <v>Nov</v>
      </c>
      <c r="D309" s="2" t="str">
        <f t="shared" si="29"/>
        <v>Off-Peak</v>
      </c>
      <c r="E309" s="2" t="str">
        <f t="shared" si="30"/>
        <v>Tue</v>
      </c>
      <c r="F309" s="8">
        <v>109</v>
      </c>
      <c r="G309" s="8">
        <v>150</v>
      </c>
      <c r="H309" s="9">
        <v>15679.04</v>
      </c>
      <c r="I309" s="10">
        <v>151.27000000000001</v>
      </c>
      <c r="J309" s="11">
        <f t="shared" si="31"/>
        <v>0.72666666666666668</v>
      </c>
      <c r="K309" s="10">
        <f t="shared" si="32"/>
        <v>143.84440366972478</v>
      </c>
      <c r="L309" s="10">
        <f t="shared" si="33"/>
        <v>104.52693333333333</v>
      </c>
      <c r="M309" s="5">
        <f t="shared" si="34"/>
        <v>-7.4255963302752264</v>
      </c>
      <c r="N309" s="1"/>
    </row>
    <row r="310" spans="1:14" x14ac:dyDescent="0.35">
      <c r="A310" s="6">
        <v>45966</v>
      </c>
      <c r="B310" s="7" t="s">
        <v>55</v>
      </c>
      <c r="C310" s="2" t="str">
        <f t="shared" si="28"/>
        <v>Nov</v>
      </c>
      <c r="D310" s="2" t="str">
        <f t="shared" si="29"/>
        <v>Off-Peak</v>
      </c>
      <c r="E310" s="2" t="str">
        <f t="shared" si="30"/>
        <v>Wed</v>
      </c>
      <c r="F310" s="8">
        <v>111</v>
      </c>
      <c r="G310" s="8">
        <v>150</v>
      </c>
      <c r="H310" s="9">
        <v>16704.87</v>
      </c>
      <c r="I310" s="10">
        <v>153.94999999999999</v>
      </c>
      <c r="J310" s="11">
        <f t="shared" si="31"/>
        <v>0.74</v>
      </c>
      <c r="K310" s="10">
        <f t="shared" si="32"/>
        <v>150.49432432432431</v>
      </c>
      <c r="L310" s="10">
        <f t="shared" si="33"/>
        <v>111.36579999999999</v>
      </c>
      <c r="M310" s="5">
        <f t="shared" si="34"/>
        <v>-3.4556756756756783</v>
      </c>
      <c r="N310" s="1"/>
    </row>
    <row r="311" spans="1:14" x14ac:dyDescent="0.35">
      <c r="A311" s="6">
        <v>45967</v>
      </c>
      <c r="B311" s="7" t="s">
        <v>55</v>
      </c>
      <c r="C311" s="2" t="str">
        <f t="shared" si="28"/>
        <v>Nov</v>
      </c>
      <c r="D311" s="2" t="str">
        <f t="shared" si="29"/>
        <v>Off-Peak</v>
      </c>
      <c r="E311" s="2" t="str">
        <f t="shared" si="30"/>
        <v>Thu</v>
      </c>
      <c r="F311" s="8">
        <v>113</v>
      </c>
      <c r="G311" s="8">
        <v>150</v>
      </c>
      <c r="H311" s="9">
        <v>17613.419999999998</v>
      </c>
      <c r="I311" s="10">
        <v>159.13</v>
      </c>
      <c r="J311" s="11">
        <f t="shared" si="31"/>
        <v>0.7533333333333333</v>
      </c>
      <c r="K311" s="10">
        <f t="shared" si="32"/>
        <v>155.87097345132742</v>
      </c>
      <c r="L311" s="10">
        <f t="shared" si="33"/>
        <v>117.4228</v>
      </c>
      <c r="M311" s="5">
        <f t="shared" si="34"/>
        <v>-3.2590265486725798</v>
      </c>
      <c r="N311" s="1"/>
    </row>
    <row r="312" spans="1:14" x14ac:dyDescent="0.35">
      <c r="A312" s="6">
        <v>45968</v>
      </c>
      <c r="B312" s="7" t="s">
        <v>55</v>
      </c>
      <c r="C312" s="2" t="str">
        <f t="shared" si="28"/>
        <v>Nov</v>
      </c>
      <c r="D312" s="2" t="str">
        <f t="shared" si="29"/>
        <v>Off-Peak</v>
      </c>
      <c r="E312" s="2" t="str">
        <f t="shared" si="30"/>
        <v>Fri</v>
      </c>
      <c r="F312" s="8">
        <v>122</v>
      </c>
      <c r="G312" s="8">
        <v>150</v>
      </c>
      <c r="H312" s="9">
        <v>20194.72</v>
      </c>
      <c r="I312" s="10">
        <v>164.99</v>
      </c>
      <c r="J312" s="11">
        <f t="shared" si="31"/>
        <v>0.81333333333333335</v>
      </c>
      <c r="K312" s="10">
        <f t="shared" si="32"/>
        <v>165.53049180327869</v>
      </c>
      <c r="L312" s="10">
        <f t="shared" si="33"/>
        <v>134.63146666666668</v>
      </c>
      <c r="M312" s="5">
        <f t="shared" si="34"/>
        <v>0.54049180327868385</v>
      </c>
      <c r="N312" s="1"/>
    </row>
    <row r="313" spans="1:14" x14ac:dyDescent="0.35">
      <c r="A313" s="6">
        <v>45969</v>
      </c>
      <c r="B313" s="7" t="s">
        <v>55</v>
      </c>
      <c r="C313" s="2" t="str">
        <f t="shared" si="28"/>
        <v>Nov</v>
      </c>
      <c r="D313" s="2" t="str">
        <f t="shared" si="29"/>
        <v>Off-Peak</v>
      </c>
      <c r="E313" s="2" t="str">
        <f t="shared" si="30"/>
        <v>Sat</v>
      </c>
      <c r="F313" s="8">
        <v>130</v>
      </c>
      <c r="G313" s="8">
        <v>150</v>
      </c>
      <c r="H313" s="9">
        <v>22429.13</v>
      </c>
      <c r="I313" s="10">
        <v>168.16</v>
      </c>
      <c r="J313" s="11">
        <f t="shared" si="31"/>
        <v>0.8666666666666667</v>
      </c>
      <c r="K313" s="10">
        <f t="shared" si="32"/>
        <v>172.53176923076924</v>
      </c>
      <c r="L313" s="10">
        <f t="shared" si="33"/>
        <v>149.52753333333334</v>
      </c>
      <c r="M313" s="5">
        <f t="shared" si="34"/>
        <v>4.371769230769246</v>
      </c>
      <c r="N313" s="1"/>
    </row>
    <row r="314" spans="1:14" x14ac:dyDescent="0.35">
      <c r="A314" s="6">
        <v>45970</v>
      </c>
      <c r="B314" s="7" t="s">
        <v>55</v>
      </c>
      <c r="C314" s="2" t="str">
        <f t="shared" si="28"/>
        <v>Nov</v>
      </c>
      <c r="D314" s="2" t="str">
        <f t="shared" si="29"/>
        <v>Off-Peak</v>
      </c>
      <c r="E314" s="2" t="str">
        <f t="shared" si="30"/>
        <v>Sun</v>
      </c>
      <c r="F314" s="8">
        <v>101</v>
      </c>
      <c r="G314" s="8">
        <v>150</v>
      </c>
      <c r="H314" s="9">
        <v>14417.51</v>
      </c>
      <c r="I314" s="10">
        <v>151.06</v>
      </c>
      <c r="J314" s="11">
        <f t="shared" si="31"/>
        <v>0.67333333333333334</v>
      </c>
      <c r="K314" s="10">
        <f t="shared" si="32"/>
        <v>142.74762376237624</v>
      </c>
      <c r="L314" s="10">
        <f t="shared" si="33"/>
        <v>96.116733333333329</v>
      </c>
      <c r="M314" s="5">
        <f t="shared" si="34"/>
        <v>-8.3123762376237664</v>
      </c>
      <c r="N314" s="1"/>
    </row>
    <row r="315" spans="1:14" x14ac:dyDescent="0.35">
      <c r="A315" s="6">
        <v>45971</v>
      </c>
      <c r="B315" s="7" t="s">
        <v>55</v>
      </c>
      <c r="C315" s="2" t="str">
        <f t="shared" si="28"/>
        <v>Nov</v>
      </c>
      <c r="D315" s="2" t="str">
        <f t="shared" si="29"/>
        <v>Off-Peak</v>
      </c>
      <c r="E315" s="2" t="str">
        <f t="shared" si="30"/>
        <v>Mon</v>
      </c>
      <c r="F315" s="8">
        <v>106</v>
      </c>
      <c r="G315" s="8">
        <v>150</v>
      </c>
      <c r="H315" s="9">
        <v>15336.14</v>
      </c>
      <c r="I315" s="10">
        <v>151.83000000000001</v>
      </c>
      <c r="J315" s="11">
        <f t="shared" si="31"/>
        <v>0.70666666666666667</v>
      </c>
      <c r="K315" s="10">
        <f t="shared" si="32"/>
        <v>144.68056603773584</v>
      </c>
      <c r="L315" s="10">
        <f t="shared" si="33"/>
        <v>102.24093333333333</v>
      </c>
      <c r="M315" s="5">
        <f t="shared" si="34"/>
        <v>-7.1494339622641689</v>
      </c>
      <c r="N315" s="1"/>
    </row>
    <row r="316" spans="1:14" x14ac:dyDescent="0.35">
      <c r="A316" s="6">
        <v>45972</v>
      </c>
      <c r="B316" s="7" t="s">
        <v>55</v>
      </c>
      <c r="C316" s="2" t="str">
        <f t="shared" si="28"/>
        <v>Nov</v>
      </c>
      <c r="D316" s="2" t="str">
        <f t="shared" si="29"/>
        <v>Off-Peak</v>
      </c>
      <c r="E316" s="2" t="str">
        <f t="shared" si="30"/>
        <v>Tue</v>
      </c>
      <c r="F316" s="8">
        <v>110</v>
      </c>
      <c r="G316" s="8">
        <v>150</v>
      </c>
      <c r="H316" s="9">
        <v>16321.75</v>
      </c>
      <c r="I316" s="10">
        <v>153.26</v>
      </c>
      <c r="J316" s="11">
        <f t="shared" si="31"/>
        <v>0.73333333333333328</v>
      </c>
      <c r="K316" s="10">
        <f t="shared" si="32"/>
        <v>148.37954545454545</v>
      </c>
      <c r="L316" s="10">
        <f t="shared" si="33"/>
        <v>108.81166666666667</v>
      </c>
      <c r="M316" s="5">
        <f t="shared" si="34"/>
        <v>-4.8804545454545405</v>
      </c>
      <c r="N316" s="1"/>
    </row>
    <row r="317" spans="1:14" x14ac:dyDescent="0.35">
      <c r="A317" s="6">
        <v>45973</v>
      </c>
      <c r="B317" s="7" t="s">
        <v>55</v>
      </c>
      <c r="C317" s="2" t="str">
        <f t="shared" si="28"/>
        <v>Nov</v>
      </c>
      <c r="D317" s="2" t="str">
        <f t="shared" si="29"/>
        <v>Off-Peak</v>
      </c>
      <c r="E317" s="2" t="str">
        <f t="shared" si="30"/>
        <v>Wed</v>
      </c>
      <c r="F317" s="8">
        <v>125</v>
      </c>
      <c r="G317" s="8">
        <v>150</v>
      </c>
      <c r="H317" s="9">
        <v>22680.46</v>
      </c>
      <c r="I317" s="10">
        <v>181.92</v>
      </c>
      <c r="J317" s="11">
        <f t="shared" si="31"/>
        <v>0.83333333333333337</v>
      </c>
      <c r="K317" s="10">
        <f t="shared" si="32"/>
        <v>181.44368</v>
      </c>
      <c r="L317" s="10">
        <f t="shared" si="33"/>
        <v>151.20306666666667</v>
      </c>
      <c r="M317" s="5">
        <f t="shared" si="34"/>
        <v>-0.47631999999998698</v>
      </c>
      <c r="N317" s="1" t="s">
        <v>19</v>
      </c>
    </row>
    <row r="318" spans="1:14" x14ac:dyDescent="0.35">
      <c r="A318" s="6">
        <v>45974</v>
      </c>
      <c r="B318" s="7" t="s">
        <v>55</v>
      </c>
      <c r="C318" s="2" t="str">
        <f t="shared" si="28"/>
        <v>Nov</v>
      </c>
      <c r="D318" s="2" t="str">
        <f t="shared" si="29"/>
        <v>Off-Peak</v>
      </c>
      <c r="E318" s="2" t="str">
        <f t="shared" si="30"/>
        <v>Thu</v>
      </c>
      <c r="F318" s="8">
        <v>126</v>
      </c>
      <c r="G318" s="8">
        <v>150</v>
      </c>
      <c r="H318" s="9">
        <v>22286.61</v>
      </c>
      <c r="I318" s="10">
        <v>181.13</v>
      </c>
      <c r="J318" s="11">
        <f t="shared" si="31"/>
        <v>0.84</v>
      </c>
      <c r="K318" s="10">
        <f t="shared" si="32"/>
        <v>176.87785714285715</v>
      </c>
      <c r="L318" s="10">
        <f t="shared" si="33"/>
        <v>148.57740000000001</v>
      </c>
      <c r="M318" s="5">
        <f t="shared" si="34"/>
        <v>-4.252142857142843</v>
      </c>
      <c r="N318" s="1" t="s">
        <v>19</v>
      </c>
    </row>
    <row r="319" spans="1:14" x14ac:dyDescent="0.35">
      <c r="A319" s="6">
        <v>45975</v>
      </c>
      <c r="B319" s="7" t="s">
        <v>55</v>
      </c>
      <c r="C319" s="2" t="str">
        <f t="shared" si="28"/>
        <v>Nov</v>
      </c>
      <c r="D319" s="2" t="str">
        <f t="shared" si="29"/>
        <v>Off-Peak</v>
      </c>
      <c r="E319" s="2" t="str">
        <f t="shared" si="30"/>
        <v>Fri</v>
      </c>
      <c r="F319" s="8">
        <v>116</v>
      </c>
      <c r="G319" s="8">
        <v>150</v>
      </c>
      <c r="H319" s="9">
        <v>17751.64</v>
      </c>
      <c r="I319" s="10">
        <v>167.24</v>
      </c>
      <c r="J319" s="11">
        <f t="shared" si="31"/>
        <v>0.77333333333333332</v>
      </c>
      <c r="K319" s="10">
        <f t="shared" si="32"/>
        <v>153.03137931034482</v>
      </c>
      <c r="L319" s="10">
        <f t="shared" si="33"/>
        <v>118.34426666666667</v>
      </c>
      <c r="M319" s="5">
        <f t="shared" si="34"/>
        <v>-14.208620689655191</v>
      </c>
      <c r="N319" s="1"/>
    </row>
    <row r="320" spans="1:14" x14ac:dyDescent="0.35">
      <c r="A320" s="6">
        <v>45976</v>
      </c>
      <c r="B320" s="7" t="s">
        <v>55</v>
      </c>
      <c r="C320" s="2" t="str">
        <f t="shared" si="28"/>
        <v>Nov</v>
      </c>
      <c r="D320" s="2" t="str">
        <f t="shared" si="29"/>
        <v>Off-Peak</v>
      </c>
      <c r="E320" s="2" t="str">
        <f t="shared" si="30"/>
        <v>Sat</v>
      </c>
      <c r="F320" s="8">
        <v>123</v>
      </c>
      <c r="G320" s="8">
        <v>150</v>
      </c>
      <c r="H320" s="9">
        <v>20785.189999999999</v>
      </c>
      <c r="I320" s="10">
        <v>169.18</v>
      </c>
      <c r="J320" s="11">
        <f t="shared" si="31"/>
        <v>0.82</v>
      </c>
      <c r="K320" s="10">
        <f t="shared" si="32"/>
        <v>168.98528455284551</v>
      </c>
      <c r="L320" s="10">
        <f t="shared" si="33"/>
        <v>138.56793333333331</v>
      </c>
      <c r="M320" s="5">
        <f t="shared" si="34"/>
        <v>-0.1947154471544934</v>
      </c>
      <c r="N320" s="1"/>
    </row>
    <row r="321" spans="1:14" x14ac:dyDescent="0.35">
      <c r="A321" s="6">
        <v>45977</v>
      </c>
      <c r="B321" s="7" t="s">
        <v>55</v>
      </c>
      <c r="C321" s="2" t="str">
        <f t="shared" si="28"/>
        <v>Nov</v>
      </c>
      <c r="D321" s="2" t="str">
        <f t="shared" si="29"/>
        <v>Off-Peak</v>
      </c>
      <c r="E321" s="2" t="str">
        <f t="shared" si="30"/>
        <v>Sun</v>
      </c>
      <c r="F321" s="8">
        <v>98</v>
      </c>
      <c r="G321" s="8">
        <v>150</v>
      </c>
      <c r="H321" s="9">
        <v>13880.28</v>
      </c>
      <c r="I321" s="10">
        <v>150.24</v>
      </c>
      <c r="J321" s="11">
        <f t="shared" si="31"/>
        <v>0.65333333333333332</v>
      </c>
      <c r="K321" s="10">
        <f t="shared" si="32"/>
        <v>141.63551020408164</v>
      </c>
      <c r="L321" s="10">
        <f t="shared" si="33"/>
        <v>92.535200000000003</v>
      </c>
      <c r="M321" s="5">
        <f t="shared" si="34"/>
        <v>-8.6044897959183686</v>
      </c>
      <c r="N321" s="1"/>
    </row>
    <row r="322" spans="1:14" x14ac:dyDescent="0.35">
      <c r="A322" s="6">
        <v>45978</v>
      </c>
      <c r="B322" s="7" t="s">
        <v>55</v>
      </c>
      <c r="C322" s="2" t="str">
        <f t="shared" ref="C322:C385" si="35">CHOOSE(MONTH(A322),"Jan","Feb","Mar","Apr","May","Jun","Jul","Aug","Sep","Oct","Nov","Dec")</f>
        <v>Nov</v>
      </c>
      <c r="D322" s="2" t="str">
        <f t="shared" ref="D322:D385" si="36">IF(AND(MONTH(A322)&gt;=5,MONTH(A322)&lt;=9),"Peak","Off-Peak")</f>
        <v>Off-Peak</v>
      </c>
      <c r="E322" s="2" t="str">
        <f t="shared" ref="E322:E385" si="37">CHOOSE(WEEKDAY(A322,2),"Mon","Tue","Wed","Thu","Fri","Sat","Sun")</f>
        <v>Mon</v>
      </c>
      <c r="F322" s="8">
        <v>95</v>
      </c>
      <c r="G322" s="8">
        <v>150</v>
      </c>
      <c r="H322" s="9">
        <v>13089.23</v>
      </c>
      <c r="I322" s="10">
        <v>148.22</v>
      </c>
      <c r="J322" s="11">
        <f t="shared" ref="J322:J385" si="38">IF(G322=0,0,F322/G322)</f>
        <v>0.6333333333333333</v>
      </c>
      <c r="K322" s="10">
        <f t="shared" ref="K322:K385" si="39">IF(F322=0,0,H322/F322)</f>
        <v>137.78136842105263</v>
      </c>
      <c r="L322" s="10">
        <f t="shared" ref="L322:L385" si="40">IF(G322=0,0,H322/G322)</f>
        <v>87.261533333333333</v>
      </c>
      <c r="M322" s="5">
        <f t="shared" ref="M322:M385" si="41">K322-I322</f>
        <v>-10.438631578947366</v>
      </c>
      <c r="N322" s="1"/>
    </row>
    <row r="323" spans="1:14" x14ac:dyDescent="0.35">
      <c r="A323" s="6">
        <v>45979</v>
      </c>
      <c r="B323" s="7" t="s">
        <v>55</v>
      </c>
      <c r="C323" s="2" t="str">
        <f t="shared" si="35"/>
        <v>Nov</v>
      </c>
      <c r="D323" s="2" t="str">
        <f t="shared" si="36"/>
        <v>Off-Peak</v>
      </c>
      <c r="E323" s="2" t="str">
        <f t="shared" si="37"/>
        <v>Tue</v>
      </c>
      <c r="F323" s="8">
        <v>110</v>
      </c>
      <c r="G323" s="8">
        <v>150</v>
      </c>
      <c r="H323" s="9">
        <v>15634.37</v>
      </c>
      <c r="I323" s="10">
        <v>155.33000000000001</v>
      </c>
      <c r="J323" s="11">
        <f t="shared" si="38"/>
        <v>0.73333333333333328</v>
      </c>
      <c r="K323" s="10">
        <f t="shared" si="39"/>
        <v>142.13063636363637</v>
      </c>
      <c r="L323" s="10">
        <f t="shared" si="40"/>
        <v>104.22913333333334</v>
      </c>
      <c r="M323" s="5">
        <f t="shared" si="41"/>
        <v>-13.199363636363643</v>
      </c>
      <c r="N323" s="1"/>
    </row>
    <row r="324" spans="1:14" x14ac:dyDescent="0.35">
      <c r="A324" s="6">
        <v>45980</v>
      </c>
      <c r="B324" s="7" t="s">
        <v>55</v>
      </c>
      <c r="C324" s="2" t="str">
        <f t="shared" si="35"/>
        <v>Nov</v>
      </c>
      <c r="D324" s="2" t="str">
        <f t="shared" si="36"/>
        <v>Off-Peak</v>
      </c>
      <c r="E324" s="2" t="str">
        <f t="shared" si="37"/>
        <v>Wed</v>
      </c>
      <c r="F324" s="8">
        <v>109</v>
      </c>
      <c r="G324" s="8">
        <v>150</v>
      </c>
      <c r="H324" s="9">
        <v>15807.61</v>
      </c>
      <c r="I324" s="10">
        <v>155.72999999999999</v>
      </c>
      <c r="J324" s="11">
        <f t="shared" si="38"/>
        <v>0.72666666666666668</v>
      </c>
      <c r="K324" s="10">
        <f t="shared" si="39"/>
        <v>145.02394495412844</v>
      </c>
      <c r="L324" s="10">
        <f t="shared" si="40"/>
        <v>105.38406666666667</v>
      </c>
      <c r="M324" s="5">
        <f t="shared" si="41"/>
        <v>-10.706055045871551</v>
      </c>
      <c r="N324" s="1"/>
    </row>
    <row r="325" spans="1:14" x14ac:dyDescent="0.35">
      <c r="A325" s="6">
        <v>45981</v>
      </c>
      <c r="B325" s="7" t="s">
        <v>55</v>
      </c>
      <c r="C325" s="2" t="str">
        <f t="shared" si="35"/>
        <v>Nov</v>
      </c>
      <c r="D325" s="2" t="str">
        <f t="shared" si="36"/>
        <v>Off-Peak</v>
      </c>
      <c r="E325" s="2" t="str">
        <f t="shared" si="37"/>
        <v>Thu</v>
      </c>
      <c r="F325" s="8">
        <v>120</v>
      </c>
      <c r="G325" s="8">
        <v>150</v>
      </c>
      <c r="H325" s="9">
        <v>18163.830000000002</v>
      </c>
      <c r="I325" s="10">
        <v>157.63</v>
      </c>
      <c r="J325" s="11">
        <f t="shared" si="38"/>
        <v>0.8</v>
      </c>
      <c r="K325" s="10">
        <f t="shared" si="39"/>
        <v>151.36525</v>
      </c>
      <c r="L325" s="10">
        <f t="shared" si="40"/>
        <v>121.09220000000001</v>
      </c>
      <c r="M325" s="5">
        <f t="shared" si="41"/>
        <v>-6.2647499999999923</v>
      </c>
      <c r="N325" s="1"/>
    </row>
    <row r="326" spans="1:14" x14ac:dyDescent="0.35">
      <c r="A326" s="6">
        <v>45982</v>
      </c>
      <c r="B326" s="7" t="s">
        <v>55</v>
      </c>
      <c r="C326" s="2" t="str">
        <f t="shared" si="35"/>
        <v>Nov</v>
      </c>
      <c r="D326" s="2" t="str">
        <f t="shared" si="36"/>
        <v>Off-Peak</v>
      </c>
      <c r="E326" s="2" t="str">
        <f t="shared" si="37"/>
        <v>Fri</v>
      </c>
      <c r="F326" s="8">
        <v>113</v>
      </c>
      <c r="G326" s="8">
        <v>150</v>
      </c>
      <c r="H326" s="9">
        <v>18450.55</v>
      </c>
      <c r="I326" s="10">
        <v>163.06</v>
      </c>
      <c r="J326" s="11">
        <f t="shared" si="38"/>
        <v>0.7533333333333333</v>
      </c>
      <c r="K326" s="10">
        <f t="shared" si="39"/>
        <v>163.27920353982302</v>
      </c>
      <c r="L326" s="10">
        <f t="shared" si="40"/>
        <v>123.00366666666666</v>
      </c>
      <c r="M326" s="5">
        <f t="shared" si="41"/>
        <v>0.21920353982301322</v>
      </c>
      <c r="N326" s="1"/>
    </row>
    <row r="327" spans="1:14" x14ac:dyDescent="0.35">
      <c r="A327" s="6">
        <v>45983</v>
      </c>
      <c r="B327" s="7" t="s">
        <v>55</v>
      </c>
      <c r="C327" s="2" t="str">
        <f t="shared" si="35"/>
        <v>Nov</v>
      </c>
      <c r="D327" s="2" t="str">
        <f t="shared" si="36"/>
        <v>Off-Peak</v>
      </c>
      <c r="E327" s="2" t="str">
        <f t="shared" si="37"/>
        <v>Sat</v>
      </c>
      <c r="F327" s="8">
        <v>120</v>
      </c>
      <c r="G327" s="8">
        <v>150</v>
      </c>
      <c r="H327" s="9">
        <v>19322.79</v>
      </c>
      <c r="I327" s="10">
        <v>170.81</v>
      </c>
      <c r="J327" s="11">
        <f t="shared" si="38"/>
        <v>0.8</v>
      </c>
      <c r="K327" s="10">
        <f t="shared" si="39"/>
        <v>161.02325000000002</v>
      </c>
      <c r="L327" s="10">
        <f t="shared" si="40"/>
        <v>128.8186</v>
      </c>
      <c r="M327" s="5">
        <f t="shared" si="41"/>
        <v>-9.7867499999999836</v>
      </c>
      <c r="N327" s="1"/>
    </row>
    <row r="328" spans="1:14" x14ac:dyDescent="0.35">
      <c r="A328" s="6">
        <v>45984</v>
      </c>
      <c r="B328" s="7" t="s">
        <v>55</v>
      </c>
      <c r="C328" s="2" t="str">
        <f t="shared" si="35"/>
        <v>Nov</v>
      </c>
      <c r="D328" s="2" t="str">
        <f t="shared" si="36"/>
        <v>Off-Peak</v>
      </c>
      <c r="E328" s="2" t="str">
        <f t="shared" si="37"/>
        <v>Sun</v>
      </c>
      <c r="F328" s="8">
        <v>98</v>
      </c>
      <c r="G328" s="8">
        <v>150</v>
      </c>
      <c r="H328" s="9">
        <v>13886.28</v>
      </c>
      <c r="I328" s="10">
        <v>148.13999999999999</v>
      </c>
      <c r="J328" s="11">
        <f t="shared" si="38"/>
        <v>0.65333333333333332</v>
      </c>
      <c r="K328" s="10">
        <f t="shared" si="39"/>
        <v>141.69673469387754</v>
      </c>
      <c r="L328" s="10">
        <f t="shared" si="40"/>
        <v>92.575200000000009</v>
      </c>
      <c r="M328" s="5">
        <f t="shared" si="41"/>
        <v>-6.4432653061224414</v>
      </c>
      <c r="N328" s="1"/>
    </row>
    <row r="329" spans="1:14" x14ac:dyDescent="0.35">
      <c r="A329" s="6">
        <v>45985</v>
      </c>
      <c r="B329" s="7" t="s">
        <v>55</v>
      </c>
      <c r="C329" s="2" t="str">
        <f t="shared" si="35"/>
        <v>Nov</v>
      </c>
      <c r="D329" s="2" t="str">
        <f t="shared" si="36"/>
        <v>Off-Peak</v>
      </c>
      <c r="E329" s="2" t="str">
        <f t="shared" si="37"/>
        <v>Mon</v>
      </c>
      <c r="F329" s="8">
        <v>103</v>
      </c>
      <c r="G329" s="8">
        <v>150</v>
      </c>
      <c r="H329" s="9">
        <v>14692.57</v>
      </c>
      <c r="I329" s="10">
        <v>154.1</v>
      </c>
      <c r="J329" s="11">
        <f t="shared" si="38"/>
        <v>0.68666666666666665</v>
      </c>
      <c r="K329" s="10">
        <f t="shared" si="39"/>
        <v>142.64631067961164</v>
      </c>
      <c r="L329" s="10">
        <f t="shared" si="40"/>
        <v>97.950466666666671</v>
      </c>
      <c r="M329" s="5">
        <f t="shared" si="41"/>
        <v>-11.453689320388349</v>
      </c>
      <c r="N329" s="1"/>
    </row>
    <row r="330" spans="1:14" x14ac:dyDescent="0.35">
      <c r="A330" s="6">
        <v>45986</v>
      </c>
      <c r="B330" s="7" t="s">
        <v>55</v>
      </c>
      <c r="C330" s="2" t="str">
        <f t="shared" si="35"/>
        <v>Nov</v>
      </c>
      <c r="D330" s="2" t="str">
        <f t="shared" si="36"/>
        <v>Off-Peak</v>
      </c>
      <c r="E330" s="2" t="str">
        <f t="shared" si="37"/>
        <v>Tue</v>
      </c>
      <c r="F330" s="8">
        <v>109</v>
      </c>
      <c r="G330" s="8">
        <v>150</v>
      </c>
      <c r="H330" s="9">
        <v>16365.15</v>
      </c>
      <c r="I330" s="10">
        <v>153.76</v>
      </c>
      <c r="J330" s="11">
        <f t="shared" si="38"/>
        <v>0.72666666666666668</v>
      </c>
      <c r="K330" s="10">
        <f t="shared" si="39"/>
        <v>150.13899082568807</v>
      </c>
      <c r="L330" s="10">
        <f t="shared" si="40"/>
        <v>109.101</v>
      </c>
      <c r="M330" s="5">
        <f t="shared" si="41"/>
        <v>-3.6210091743119222</v>
      </c>
      <c r="N330" s="1"/>
    </row>
    <row r="331" spans="1:14" x14ac:dyDescent="0.35">
      <c r="A331" s="6">
        <v>45987</v>
      </c>
      <c r="B331" s="7" t="s">
        <v>55</v>
      </c>
      <c r="C331" s="2" t="str">
        <f t="shared" si="35"/>
        <v>Nov</v>
      </c>
      <c r="D331" s="2" t="str">
        <f t="shared" si="36"/>
        <v>Off-Peak</v>
      </c>
      <c r="E331" s="2" t="str">
        <f t="shared" si="37"/>
        <v>Wed</v>
      </c>
      <c r="F331" s="8">
        <v>104</v>
      </c>
      <c r="G331" s="8">
        <v>150</v>
      </c>
      <c r="H331" s="9">
        <v>15559.56</v>
      </c>
      <c r="I331" s="10">
        <v>155.4</v>
      </c>
      <c r="J331" s="11">
        <f t="shared" si="38"/>
        <v>0.69333333333333336</v>
      </c>
      <c r="K331" s="10">
        <f t="shared" si="39"/>
        <v>149.61115384615385</v>
      </c>
      <c r="L331" s="10">
        <f t="shared" si="40"/>
        <v>103.7304</v>
      </c>
      <c r="M331" s="5">
        <f t="shared" si="41"/>
        <v>-5.7888461538461513</v>
      </c>
      <c r="N331" s="1"/>
    </row>
    <row r="332" spans="1:14" x14ac:dyDescent="0.35">
      <c r="A332" s="6">
        <v>45988</v>
      </c>
      <c r="B332" s="7" t="s">
        <v>55</v>
      </c>
      <c r="C332" s="2" t="str">
        <f t="shared" si="35"/>
        <v>Nov</v>
      </c>
      <c r="D332" s="2" t="str">
        <f t="shared" si="36"/>
        <v>Off-Peak</v>
      </c>
      <c r="E332" s="2" t="str">
        <f t="shared" si="37"/>
        <v>Thu</v>
      </c>
      <c r="F332" s="8">
        <v>112</v>
      </c>
      <c r="G332" s="8">
        <v>150</v>
      </c>
      <c r="H332" s="9">
        <v>17908.53</v>
      </c>
      <c r="I332" s="10">
        <v>156.16</v>
      </c>
      <c r="J332" s="11">
        <f t="shared" si="38"/>
        <v>0.7466666666666667</v>
      </c>
      <c r="K332" s="10">
        <f t="shared" si="39"/>
        <v>159.89758928571428</v>
      </c>
      <c r="L332" s="10">
        <f t="shared" si="40"/>
        <v>119.39019999999999</v>
      </c>
      <c r="M332" s="5">
        <f t="shared" si="41"/>
        <v>3.7375892857142787</v>
      </c>
      <c r="N332" s="1"/>
    </row>
    <row r="333" spans="1:14" x14ac:dyDescent="0.35">
      <c r="A333" s="6">
        <v>45989</v>
      </c>
      <c r="B333" s="7" t="s">
        <v>55</v>
      </c>
      <c r="C333" s="2" t="str">
        <f t="shared" si="35"/>
        <v>Nov</v>
      </c>
      <c r="D333" s="2" t="str">
        <f t="shared" si="36"/>
        <v>Off-Peak</v>
      </c>
      <c r="E333" s="2" t="str">
        <f t="shared" si="37"/>
        <v>Fri</v>
      </c>
      <c r="F333" s="8">
        <v>119</v>
      </c>
      <c r="G333" s="8">
        <v>150</v>
      </c>
      <c r="H333" s="9">
        <v>20711.28</v>
      </c>
      <c r="I333" s="10">
        <v>160.04</v>
      </c>
      <c r="J333" s="11">
        <f t="shared" si="38"/>
        <v>0.79333333333333333</v>
      </c>
      <c r="K333" s="10">
        <f t="shared" si="39"/>
        <v>174.04436974789914</v>
      </c>
      <c r="L333" s="10">
        <f t="shared" si="40"/>
        <v>138.0752</v>
      </c>
      <c r="M333" s="5">
        <f t="shared" si="41"/>
        <v>14.004369747899148</v>
      </c>
      <c r="N333" s="1"/>
    </row>
    <row r="334" spans="1:14" x14ac:dyDescent="0.35">
      <c r="A334" s="6">
        <v>45990</v>
      </c>
      <c r="B334" s="7" t="s">
        <v>55</v>
      </c>
      <c r="C334" s="2" t="str">
        <f t="shared" si="35"/>
        <v>Nov</v>
      </c>
      <c r="D334" s="2" t="str">
        <f t="shared" si="36"/>
        <v>Off-Peak</v>
      </c>
      <c r="E334" s="2" t="str">
        <f t="shared" si="37"/>
        <v>Sat</v>
      </c>
      <c r="F334" s="8">
        <v>113</v>
      </c>
      <c r="G334" s="8">
        <v>150</v>
      </c>
      <c r="H334" s="9">
        <v>19077.919999999998</v>
      </c>
      <c r="I334" s="10">
        <v>165.29</v>
      </c>
      <c r="J334" s="11">
        <f t="shared" si="38"/>
        <v>0.7533333333333333</v>
      </c>
      <c r="K334" s="10">
        <f t="shared" si="39"/>
        <v>168.83115044247785</v>
      </c>
      <c r="L334" s="10">
        <f t="shared" si="40"/>
        <v>127.18613333333332</v>
      </c>
      <c r="M334" s="5">
        <f t="shared" si="41"/>
        <v>3.541150442477857</v>
      </c>
      <c r="N334" s="1"/>
    </row>
    <row r="335" spans="1:14" x14ac:dyDescent="0.35">
      <c r="A335" s="6">
        <v>45991</v>
      </c>
      <c r="B335" s="7" t="s">
        <v>55</v>
      </c>
      <c r="C335" s="2" t="str">
        <f t="shared" si="35"/>
        <v>Nov</v>
      </c>
      <c r="D335" s="2" t="str">
        <f t="shared" si="36"/>
        <v>Off-Peak</v>
      </c>
      <c r="E335" s="2" t="str">
        <f t="shared" si="37"/>
        <v>Sun</v>
      </c>
      <c r="F335" s="8">
        <v>101</v>
      </c>
      <c r="G335" s="8">
        <v>150</v>
      </c>
      <c r="H335" s="9">
        <v>14576.51</v>
      </c>
      <c r="I335" s="10">
        <v>148.25</v>
      </c>
      <c r="J335" s="11">
        <f t="shared" si="38"/>
        <v>0.67333333333333334</v>
      </c>
      <c r="K335" s="10">
        <f t="shared" si="39"/>
        <v>144.32188118811882</v>
      </c>
      <c r="L335" s="10">
        <f t="shared" si="40"/>
        <v>97.176733333333331</v>
      </c>
      <c r="M335" s="5">
        <f t="shared" si="41"/>
        <v>-3.928118811881177</v>
      </c>
      <c r="N335" s="1"/>
    </row>
    <row r="336" spans="1:14" x14ac:dyDescent="0.35">
      <c r="A336" s="6">
        <v>45992</v>
      </c>
      <c r="B336" s="7" t="s">
        <v>55</v>
      </c>
      <c r="C336" s="2" t="str">
        <f t="shared" si="35"/>
        <v>Dec</v>
      </c>
      <c r="D336" s="2" t="str">
        <f t="shared" si="36"/>
        <v>Off-Peak</v>
      </c>
      <c r="E336" s="2" t="str">
        <f t="shared" si="37"/>
        <v>Mon</v>
      </c>
      <c r="F336" s="8">
        <v>101</v>
      </c>
      <c r="G336" s="8">
        <v>150</v>
      </c>
      <c r="H336" s="9">
        <v>16309.16</v>
      </c>
      <c r="I336" s="10">
        <v>156.52000000000001</v>
      </c>
      <c r="J336" s="11">
        <f t="shared" si="38"/>
        <v>0.67333333333333334</v>
      </c>
      <c r="K336" s="10">
        <f t="shared" si="39"/>
        <v>161.47683168316831</v>
      </c>
      <c r="L336" s="10">
        <f t="shared" si="40"/>
        <v>108.72773333333333</v>
      </c>
      <c r="M336" s="5">
        <f t="shared" si="41"/>
        <v>4.9568316831683035</v>
      </c>
      <c r="N336" s="1"/>
    </row>
    <row r="337" spans="1:14" x14ac:dyDescent="0.35">
      <c r="A337" s="6">
        <v>45993</v>
      </c>
      <c r="B337" s="7" t="s">
        <v>55</v>
      </c>
      <c r="C337" s="2" t="str">
        <f t="shared" si="35"/>
        <v>Dec</v>
      </c>
      <c r="D337" s="2" t="str">
        <f t="shared" si="36"/>
        <v>Off-Peak</v>
      </c>
      <c r="E337" s="2" t="str">
        <f t="shared" si="37"/>
        <v>Tue</v>
      </c>
      <c r="F337" s="8">
        <v>99</v>
      </c>
      <c r="G337" s="8">
        <v>150</v>
      </c>
      <c r="H337" s="9">
        <v>15951.09</v>
      </c>
      <c r="I337" s="10">
        <v>165.37</v>
      </c>
      <c r="J337" s="11">
        <f t="shared" si="38"/>
        <v>0.66</v>
      </c>
      <c r="K337" s="10">
        <f t="shared" si="39"/>
        <v>161.12212121212121</v>
      </c>
      <c r="L337" s="10">
        <f t="shared" si="40"/>
        <v>106.34059999999999</v>
      </c>
      <c r="M337" s="5">
        <f t="shared" si="41"/>
        <v>-4.2478787878787898</v>
      </c>
      <c r="N337" s="1"/>
    </row>
    <row r="338" spans="1:14" x14ac:dyDescent="0.35">
      <c r="A338" s="6">
        <v>45994</v>
      </c>
      <c r="B338" s="7" t="s">
        <v>55</v>
      </c>
      <c r="C338" s="2" t="str">
        <f t="shared" si="35"/>
        <v>Dec</v>
      </c>
      <c r="D338" s="2" t="str">
        <f t="shared" si="36"/>
        <v>Off-Peak</v>
      </c>
      <c r="E338" s="2" t="str">
        <f t="shared" si="37"/>
        <v>Wed</v>
      </c>
      <c r="F338" s="8">
        <v>105</v>
      </c>
      <c r="G338" s="8">
        <v>150</v>
      </c>
      <c r="H338" s="9">
        <v>17241.5</v>
      </c>
      <c r="I338" s="10">
        <v>171.79</v>
      </c>
      <c r="J338" s="11">
        <f t="shared" si="38"/>
        <v>0.7</v>
      </c>
      <c r="K338" s="10">
        <f t="shared" si="39"/>
        <v>164.20476190476191</v>
      </c>
      <c r="L338" s="10">
        <f t="shared" si="40"/>
        <v>114.94333333333333</v>
      </c>
      <c r="M338" s="5">
        <f t="shared" si="41"/>
        <v>-7.5852380952380827</v>
      </c>
      <c r="N338" s="1"/>
    </row>
    <row r="339" spans="1:14" x14ac:dyDescent="0.35">
      <c r="A339" s="6">
        <v>45995</v>
      </c>
      <c r="B339" s="7" t="s">
        <v>55</v>
      </c>
      <c r="C339" s="2" t="str">
        <f t="shared" si="35"/>
        <v>Dec</v>
      </c>
      <c r="D339" s="2" t="str">
        <f t="shared" si="36"/>
        <v>Off-Peak</v>
      </c>
      <c r="E339" s="2" t="str">
        <f t="shared" si="37"/>
        <v>Thu</v>
      </c>
      <c r="F339" s="8">
        <v>114</v>
      </c>
      <c r="G339" s="8">
        <v>150</v>
      </c>
      <c r="H339" s="9">
        <v>19650.87</v>
      </c>
      <c r="I339" s="10">
        <v>176.74</v>
      </c>
      <c r="J339" s="11">
        <f t="shared" si="38"/>
        <v>0.76</v>
      </c>
      <c r="K339" s="10">
        <f t="shared" si="39"/>
        <v>172.37605263157894</v>
      </c>
      <c r="L339" s="10">
        <f t="shared" si="40"/>
        <v>131.00579999999999</v>
      </c>
      <c r="M339" s="5">
        <f t="shared" si="41"/>
        <v>-4.3639473684210657</v>
      </c>
      <c r="N339" s="1"/>
    </row>
    <row r="340" spans="1:14" x14ac:dyDescent="0.35">
      <c r="A340" s="6">
        <v>45996</v>
      </c>
      <c r="B340" s="7" t="s">
        <v>55</v>
      </c>
      <c r="C340" s="2" t="str">
        <f t="shared" si="35"/>
        <v>Dec</v>
      </c>
      <c r="D340" s="2" t="str">
        <f t="shared" si="36"/>
        <v>Off-Peak</v>
      </c>
      <c r="E340" s="2" t="str">
        <f t="shared" si="37"/>
        <v>Fri</v>
      </c>
      <c r="F340" s="8">
        <v>118</v>
      </c>
      <c r="G340" s="8">
        <v>150</v>
      </c>
      <c r="H340" s="9">
        <v>21069.57</v>
      </c>
      <c r="I340" s="10">
        <v>182.07</v>
      </c>
      <c r="J340" s="11">
        <f t="shared" si="38"/>
        <v>0.78666666666666663</v>
      </c>
      <c r="K340" s="10">
        <f t="shared" si="39"/>
        <v>178.55567796610168</v>
      </c>
      <c r="L340" s="10">
        <f t="shared" si="40"/>
        <v>140.46379999999999</v>
      </c>
      <c r="M340" s="5">
        <f t="shared" si="41"/>
        <v>-3.5143220338983099</v>
      </c>
      <c r="N340" s="1"/>
    </row>
    <row r="341" spans="1:14" x14ac:dyDescent="0.35">
      <c r="A341" s="6">
        <v>45997</v>
      </c>
      <c r="B341" s="7" t="s">
        <v>55</v>
      </c>
      <c r="C341" s="2" t="str">
        <f t="shared" si="35"/>
        <v>Dec</v>
      </c>
      <c r="D341" s="2" t="str">
        <f t="shared" si="36"/>
        <v>Off-Peak</v>
      </c>
      <c r="E341" s="2" t="str">
        <f t="shared" si="37"/>
        <v>Sat</v>
      </c>
      <c r="F341" s="8">
        <v>107</v>
      </c>
      <c r="G341" s="8">
        <v>150</v>
      </c>
      <c r="H341" s="9">
        <v>18039.810000000001</v>
      </c>
      <c r="I341" s="10">
        <v>171.01</v>
      </c>
      <c r="J341" s="11">
        <f t="shared" si="38"/>
        <v>0.71333333333333337</v>
      </c>
      <c r="K341" s="10">
        <f t="shared" si="39"/>
        <v>168.59635514018692</v>
      </c>
      <c r="L341" s="10">
        <f t="shared" si="40"/>
        <v>120.26540000000001</v>
      </c>
      <c r="M341" s="5">
        <f t="shared" si="41"/>
        <v>-2.4136448598130755</v>
      </c>
      <c r="N341" s="1"/>
    </row>
    <row r="342" spans="1:14" x14ac:dyDescent="0.35">
      <c r="A342" s="6">
        <v>45998</v>
      </c>
      <c r="B342" s="7" t="s">
        <v>55</v>
      </c>
      <c r="C342" s="2" t="str">
        <f t="shared" si="35"/>
        <v>Dec</v>
      </c>
      <c r="D342" s="2" t="str">
        <f t="shared" si="36"/>
        <v>Off-Peak</v>
      </c>
      <c r="E342" s="2" t="str">
        <f t="shared" si="37"/>
        <v>Sun</v>
      </c>
      <c r="F342" s="8">
        <v>90</v>
      </c>
      <c r="G342" s="8">
        <v>150</v>
      </c>
      <c r="H342" s="9">
        <v>13826.08</v>
      </c>
      <c r="I342" s="10">
        <v>159.75</v>
      </c>
      <c r="J342" s="11">
        <f t="shared" si="38"/>
        <v>0.6</v>
      </c>
      <c r="K342" s="10">
        <f t="shared" si="39"/>
        <v>153.62311111111111</v>
      </c>
      <c r="L342" s="10">
        <f t="shared" si="40"/>
        <v>92.173866666666669</v>
      </c>
      <c r="M342" s="5">
        <f t="shared" si="41"/>
        <v>-6.1268888888888853</v>
      </c>
      <c r="N342" s="1"/>
    </row>
    <row r="343" spans="1:14" x14ac:dyDescent="0.35">
      <c r="A343" s="6">
        <v>45999</v>
      </c>
      <c r="B343" s="7" t="s">
        <v>55</v>
      </c>
      <c r="C343" s="2" t="str">
        <f t="shared" si="35"/>
        <v>Dec</v>
      </c>
      <c r="D343" s="2" t="str">
        <f t="shared" si="36"/>
        <v>Off-Peak</v>
      </c>
      <c r="E343" s="2" t="str">
        <f t="shared" si="37"/>
        <v>Mon</v>
      </c>
      <c r="F343" s="8">
        <v>101</v>
      </c>
      <c r="G343" s="8">
        <v>150</v>
      </c>
      <c r="H343" s="9">
        <v>15980.71</v>
      </c>
      <c r="I343" s="10">
        <v>166.19</v>
      </c>
      <c r="J343" s="11">
        <f t="shared" si="38"/>
        <v>0.67333333333333334</v>
      </c>
      <c r="K343" s="10">
        <f t="shared" si="39"/>
        <v>158.22485148514852</v>
      </c>
      <c r="L343" s="10">
        <f t="shared" si="40"/>
        <v>106.53806666666667</v>
      </c>
      <c r="M343" s="5">
        <f t="shared" si="41"/>
        <v>-7.965148514851478</v>
      </c>
      <c r="N343" s="1"/>
    </row>
    <row r="344" spans="1:14" x14ac:dyDescent="0.35">
      <c r="A344" s="6">
        <v>46000</v>
      </c>
      <c r="B344" s="7" t="s">
        <v>55</v>
      </c>
      <c r="C344" s="2" t="str">
        <f t="shared" si="35"/>
        <v>Dec</v>
      </c>
      <c r="D344" s="2" t="str">
        <f t="shared" si="36"/>
        <v>Off-Peak</v>
      </c>
      <c r="E344" s="2" t="str">
        <f t="shared" si="37"/>
        <v>Tue</v>
      </c>
      <c r="F344" s="8">
        <v>103</v>
      </c>
      <c r="G344" s="8">
        <v>150</v>
      </c>
      <c r="H344" s="9">
        <v>17153.060000000001</v>
      </c>
      <c r="I344" s="10">
        <v>167.44</v>
      </c>
      <c r="J344" s="11">
        <f t="shared" si="38"/>
        <v>0.68666666666666665</v>
      </c>
      <c r="K344" s="10">
        <f t="shared" si="39"/>
        <v>166.53456310679613</v>
      </c>
      <c r="L344" s="10">
        <f t="shared" si="40"/>
        <v>114.35373333333334</v>
      </c>
      <c r="M344" s="5">
        <f t="shared" si="41"/>
        <v>-0.90543689320386989</v>
      </c>
      <c r="N344" s="1"/>
    </row>
    <row r="345" spans="1:14" x14ac:dyDescent="0.35">
      <c r="A345" s="6">
        <v>46001</v>
      </c>
      <c r="B345" s="7" t="s">
        <v>55</v>
      </c>
      <c r="C345" s="2" t="str">
        <f t="shared" si="35"/>
        <v>Dec</v>
      </c>
      <c r="D345" s="2" t="str">
        <f t="shared" si="36"/>
        <v>Off-Peak</v>
      </c>
      <c r="E345" s="2" t="str">
        <f t="shared" si="37"/>
        <v>Wed</v>
      </c>
      <c r="F345" s="8">
        <v>106</v>
      </c>
      <c r="G345" s="8">
        <v>150</v>
      </c>
      <c r="H345" s="9">
        <v>19040.099999999999</v>
      </c>
      <c r="I345" s="10">
        <v>163.77000000000001</v>
      </c>
      <c r="J345" s="11">
        <f t="shared" si="38"/>
        <v>0.70666666666666667</v>
      </c>
      <c r="K345" s="10">
        <f t="shared" si="39"/>
        <v>179.62358490566035</v>
      </c>
      <c r="L345" s="10">
        <f t="shared" si="40"/>
        <v>126.93399999999998</v>
      </c>
      <c r="M345" s="5">
        <f t="shared" si="41"/>
        <v>15.853584905660341</v>
      </c>
      <c r="N345" s="1"/>
    </row>
    <row r="346" spans="1:14" x14ac:dyDescent="0.35">
      <c r="A346" s="6">
        <v>46002</v>
      </c>
      <c r="B346" s="7" t="s">
        <v>55</v>
      </c>
      <c r="C346" s="2" t="str">
        <f t="shared" si="35"/>
        <v>Dec</v>
      </c>
      <c r="D346" s="2" t="str">
        <f t="shared" si="36"/>
        <v>Off-Peak</v>
      </c>
      <c r="E346" s="2" t="str">
        <f t="shared" si="37"/>
        <v>Thu</v>
      </c>
      <c r="F346" s="8">
        <v>106</v>
      </c>
      <c r="G346" s="8">
        <v>150</v>
      </c>
      <c r="H346" s="9">
        <v>17589.45</v>
      </c>
      <c r="I346" s="10">
        <v>175.56</v>
      </c>
      <c r="J346" s="11">
        <f t="shared" si="38"/>
        <v>0.70666666666666667</v>
      </c>
      <c r="K346" s="10">
        <f t="shared" si="39"/>
        <v>165.93820754716981</v>
      </c>
      <c r="L346" s="10">
        <f t="shared" si="40"/>
        <v>117.26300000000001</v>
      </c>
      <c r="M346" s="5">
        <f t="shared" si="41"/>
        <v>-9.6217924528301921</v>
      </c>
      <c r="N346" s="1"/>
    </row>
    <row r="347" spans="1:14" x14ac:dyDescent="0.35">
      <c r="A347" s="6">
        <v>46003</v>
      </c>
      <c r="B347" s="7" t="s">
        <v>55</v>
      </c>
      <c r="C347" s="2" t="str">
        <f t="shared" si="35"/>
        <v>Dec</v>
      </c>
      <c r="D347" s="2" t="str">
        <f t="shared" si="36"/>
        <v>Off-Peak</v>
      </c>
      <c r="E347" s="2" t="str">
        <f t="shared" si="37"/>
        <v>Fri</v>
      </c>
      <c r="F347" s="8">
        <v>129</v>
      </c>
      <c r="G347" s="8">
        <v>150</v>
      </c>
      <c r="H347" s="9">
        <v>28007.21</v>
      </c>
      <c r="I347" s="10">
        <v>202.93</v>
      </c>
      <c r="J347" s="11">
        <f t="shared" si="38"/>
        <v>0.86</v>
      </c>
      <c r="K347" s="10">
        <f t="shared" si="39"/>
        <v>217.11015503875967</v>
      </c>
      <c r="L347" s="10">
        <f t="shared" si="40"/>
        <v>186.71473333333333</v>
      </c>
      <c r="M347" s="5">
        <f t="shared" si="41"/>
        <v>14.180155038759665</v>
      </c>
      <c r="N347" s="1" t="s">
        <v>22</v>
      </c>
    </row>
    <row r="348" spans="1:14" x14ac:dyDescent="0.35">
      <c r="A348" s="6">
        <v>46004</v>
      </c>
      <c r="B348" s="7" t="s">
        <v>55</v>
      </c>
      <c r="C348" s="2" t="str">
        <f t="shared" si="35"/>
        <v>Dec</v>
      </c>
      <c r="D348" s="2" t="str">
        <f t="shared" si="36"/>
        <v>Off-Peak</v>
      </c>
      <c r="E348" s="2" t="str">
        <f t="shared" si="37"/>
        <v>Sat</v>
      </c>
      <c r="F348" s="8">
        <v>131</v>
      </c>
      <c r="G348" s="8">
        <v>150</v>
      </c>
      <c r="H348" s="9">
        <v>28191.06</v>
      </c>
      <c r="I348" s="10">
        <v>203</v>
      </c>
      <c r="J348" s="11">
        <f t="shared" si="38"/>
        <v>0.87333333333333329</v>
      </c>
      <c r="K348" s="10">
        <f t="shared" si="39"/>
        <v>215.19893129770995</v>
      </c>
      <c r="L348" s="10">
        <f t="shared" si="40"/>
        <v>187.94040000000001</v>
      </c>
      <c r="M348" s="5">
        <f t="shared" si="41"/>
        <v>12.198931297709947</v>
      </c>
      <c r="N348" s="1" t="s">
        <v>22</v>
      </c>
    </row>
    <row r="349" spans="1:14" x14ac:dyDescent="0.35">
      <c r="A349" s="6">
        <v>46005</v>
      </c>
      <c r="B349" s="7" t="s">
        <v>55</v>
      </c>
      <c r="C349" s="2" t="str">
        <f t="shared" si="35"/>
        <v>Dec</v>
      </c>
      <c r="D349" s="2" t="str">
        <f t="shared" si="36"/>
        <v>Off-Peak</v>
      </c>
      <c r="E349" s="2" t="str">
        <f t="shared" si="37"/>
        <v>Sun</v>
      </c>
      <c r="F349" s="8">
        <v>105</v>
      </c>
      <c r="G349" s="8">
        <v>150</v>
      </c>
      <c r="H349" s="9">
        <v>19118.29</v>
      </c>
      <c r="I349" s="10">
        <v>183.2</v>
      </c>
      <c r="J349" s="11">
        <f t="shared" si="38"/>
        <v>0.7</v>
      </c>
      <c r="K349" s="10">
        <f t="shared" si="39"/>
        <v>182.07895238095239</v>
      </c>
      <c r="L349" s="10">
        <f t="shared" si="40"/>
        <v>127.45526666666667</v>
      </c>
      <c r="M349" s="5">
        <f t="shared" si="41"/>
        <v>-1.1210476190476015</v>
      </c>
      <c r="N349" s="1" t="s">
        <v>22</v>
      </c>
    </row>
    <row r="350" spans="1:14" x14ac:dyDescent="0.35">
      <c r="A350" s="6">
        <v>46006</v>
      </c>
      <c r="B350" s="7" t="s">
        <v>55</v>
      </c>
      <c r="C350" s="2" t="str">
        <f t="shared" si="35"/>
        <v>Dec</v>
      </c>
      <c r="D350" s="2" t="str">
        <f t="shared" si="36"/>
        <v>Off-Peak</v>
      </c>
      <c r="E350" s="2" t="str">
        <f t="shared" si="37"/>
        <v>Mon</v>
      </c>
      <c r="F350" s="8">
        <v>106</v>
      </c>
      <c r="G350" s="8">
        <v>150</v>
      </c>
      <c r="H350" s="9">
        <v>19697.189999999999</v>
      </c>
      <c r="I350" s="10">
        <v>182.77</v>
      </c>
      <c r="J350" s="11">
        <f t="shared" si="38"/>
        <v>0.70666666666666667</v>
      </c>
      <c r="K350" s="10">
        <f t="shared" si="39"/>
        <v>185.82254716981132</v>
      </c>
      <c r="L350" s="10">
        <f t="shared" si="40"/>
        <v>131.31459999999998</v>
      </c>
      <c r="M350" s="5">
        <f t="shared" si="41"/>
        <v>3.0525471698113051</v>
      </c>
      <c r="N350" s="1" t="s">
        <v>22</v>
      </c>
    </row>
    <row r="351" spans="1:14" x14ac:dyDescent="0.35">
      <c r="A351" s="6">
        <v>46007</v>
      </c>
      <c r="B351" s="7" t="s">
        <v>55</v>
      </c>
      <c r="C351" s="2" t="str">
        <f t="shared" si="35"/>
        <v>Dec</v>
      </c>
      <c r="D351" s="2" t="str">
        <f t="shared" si="36"/>
        <v>Off-Peak</v>
      </c>
      <c r="E351" s="2" t="str">
        <f t="shared" si="37"/>
        <v>Tue</v>
      </c>
      <c r="F351" s="8">
        <v>119</v>
      </c>
      <c r="G351" s="8">
        <v>150</v>
      </c>
      <c r="H351" s="9">
        <v>22556.69</v>
      </c>
      <c r="I351" s="10">
        <v>197.67</v>
      </c>
      <c r="J351" s="11">
        <f t="shared" si="38"/>
        <v>0.79333333333333333</v>
      </c>
      <c r="K351" s="10">
        <f t="shared" si="39"/>
        <v>189.55201680672269</v>
      </c>
      <c r="L351" s="10">
        <f t="shared" si="40"/>
        <v>150.37793333333332</v>
      </c>
      <c r="M351" s="5">
        <f t="shared" si="41"/>
        <v>-8.117983193277297</v>
      </c>
      <c r="N351" s="1" t="s">
        <v>22</v>
      </c>
    </row>
    <row r="352" spans="1:14" x14ac:dyDescent="0.35">
      <c r="A352" s="6">
        <v>46008</v>
      </c>
      <c r="B352" s="7" t="s">
        <v>55</v>
      </c>
      <c r="C352" s="2" t="str">
        <f t="shared" si="35"/>
        <v>Dec</v>
      </c>
      <c r="D352" s="2" t="str">
        <f t="shared" si="36"/>
        <v>Off-Peak</v>
      </c>
      <c r="E352" s="2" t="str">
        <f t="shared" si="37"/>
        <v>Wed</v>
      </c>
      <c r="F352" s="8">
        <v>121</v>
      </c>
      <c r="G352" s="8">
        <v>150</v>
      </c>
      <c r="H352" s="9">
        <v>24114.45</v>
      </c>
      <c r="I352" s="10">
        <v>192.15</v>
      </c>
      <c r="J352" s="11">
        <f t="shared" si="38"/>
        <v>0.80666666666666664</v>
      </c>
      <c r="K352" s="10">
        <f t="shared" si="39"/>
        <v>199.29297520661157</v>
      </c>
      <c r="L352" s="10">
        <f t="shared" si="40"/>
        <v>160.76300000000001</v>
      </c>
      <c r="M352" s="5">
        <f t="shared" si="41"/>
        <v>7.1429752066115668</v>
      </c>
      <c r="N352" s="1" t="s">
        <v>22</v>
      </c>
    </row>
    <row r="353" spans="1:14" x14ac:dyDescent="0.35">
      <c r="A353" s="6">
        <v>46009</v>
      </c>
      <c r="B353" s="7" t="s">
        <v>55</v>
      </c>
      <c r="C353" s="2" t="str">
        <f t="shared" si="35"/>
        <v>Dec</v>
      </c>
      <c r="D353" s="2" t="str">
        <f t="shared" si="36"/>
        <v>Off-Peak</v>
      </c>
      <c r="E353" s="2" t="str">
        <f t="shared" si="37"/>
        <v>Thu</v>
      </c>
      <c r="F353" s="8">
        <v>122</v>
      </c>
      <c r="G353" s="8">
        <v>150</v>
      </c>
      <c r="H353" s="9">
        <v>23896.240000000002</v>
      </c>
      <c r="I353" s="10">
        <v>192.67</v>
      </c>
      <c r="J353" s="11">
        <f t="shared" si="38"/>
        <v>0.81333333333333335</v>
      </c>
      <c r="K353" s="10">
        <f t="shared" si="39"/>
        <v>195.87081967213115</v>
      </c>
      <c r="L353" s="10">
        <f t="shared" si="40"/>
        <v>159.30826666666667</v>
      </c>
      <c r="M353" s="5">
        <f t="shared" si="41"/>
        <v>3.2008196721311606</v>
      </c>
      <c r="N353" s="1" t="s">
        <v>22</v>
      </c>
    </row>
    <row r="354" spans="1:14" x14ac:dyDescent="0.35">
      <c r="A354" s="6">
        <v>46010</v>
      </c>
      <c r="B354" s="7" t="s">
        <v>55</v>
      </c>
      <c r="C354" s="2" t="str">
        <f t="shared" si="35"/>
        <v>Dec</v>
      </c>
      <c r="D354" s="2" t="str">
        <f t="shared" si="36"/>
        <v>Off-Peak</v>
      </c>
      <c r="E354" s="2" t="str">
        <f t="shared" si="37"/>
        <v>Fri</v>
      </c>
      <c r="F354" s="8">
        <v>120</v>
      </c>
      <c r="G354" s="8">
        <v>150</v>
      </c>
      <c r="H354" s="9">
        <v>24124.53</v>
      </c>
      <c r="I354" s="10">
        <v>198.59</v>
      </c>
      <c r="J354" s="11">
        <f t="shared" si="38"/>
        <v>0.8</v>
      </c>
      <c r="K354" s="10">
        <f t="shared" si="39"/>
        <v>201.03774999999999</v>
      </c>
      <c r="L354" s="10">
        <f t="shared" si="40"/>
        <v>160.83019999999999</v>
      </c>
      <c r="M354" s="5">
        <f t="shared" si="41"/>
        <v>2.447749999999985</v>
      </c>
      <c r="N354" s="1" t="s">
        <v>22</v>
      </c>
    </row>
    <row r="355" spans="1:14" x14ac:dyDescent="0.35">
      <c r="A355" s="6">
        <v>46011</v>
      </c>
      <c r="B355" s="7" t="s">
        <v>55</v>
      </c>
      <c r="C355" s="2" t="str">
        <f t="shared" si="35"/>
        <v>Dec</v>
      </c>
      <c r="D355" s="2" t="str">
        <f t="shared" si="36"/>
        <v>Off-Peak</v>
      </c>
      <c r="E355" s="2" t="str">
        <f t="shared" si="37"/>
        <v>Sat</v>
      </c>
      <c r="F355" s="8">
        <v>128</v>
      </c>
      <c r="G355" s="8">
        <v>150</v>
      </c>
      <c r="H355" s="9">
        <v>28266.28</v>
      </c>
      <c r="I355" s="10">
        <v>199.05</v>
      </c>
      <c r="J355" s="11">
        <f t="shared" si="38"/>
        <v>0.85333333333333339</v>
      </c>
      <c r="K355" s="10">
        <f t="shared" si="39"/>
        <v>220.83031249999999</v>
      </c>
      <c r="L355" s="10">
        <f t="shared" si="40"/>
        <v>188.44186666666667</v>
      </c>
      <c r="M355" s="5">
        <f t="shared" si="41"/>
        <v>21.78031249999998</v>
      </c>
      <c r="N355" s="1" t="s">
        <v>22</v>
      </c>
    </row>
    <row r="356" spans="1:14" x14ac:dyDescent="0.35">
      <c r="A356" s="6">
        <v>46012</v>
      </c>
      <c r="B356" s="7" t="s">
        <v>55</v>
      </c>
      <c r="C356" s="2" t="str">
        <f t="shared" si="35"/>
        <v>Dec</v>
      </c>
      <c r="D356" s="2" t="str">
        <f t="shared" si="36"/>
        <v>Off-Peak</v>
      </c>
      <c r="E356" s="2" t="str">
        <f t="shared" si="37"/>
        <v>Sun</v>
      </c>
      <c r="F356" s="8">
        <v>105</v>
      </c>
      <c r="G356" s="8">
        <v>150</v>
      </c>
      <c r="H356" s="9">
        <v>19812.849999999999</v>
      </c>
      <c r="I356" s="10">
        <v>187.82</v>
      </c>
      <c r="J356" s="11">
        <f t="shared" si="38"/>
        <v>0.7</v>
      </c>
      <c r="K356" s="10">
        <f t="shared" si="39"/>
        <v>188.69380952380951</v>
      </c>
      <c r="L356" s="10">
        <f t="shared" si="40"/>
        <v>132.08566666666667</v>
      </c>
      <c r="M356" s="5">
        <f t="shared" si="41"/>
        <v>0.87380952380951271</v>
      </c>
      <c r="N356" s="1" t="s">
        <v>22</v>
      </c>
    </row>
    <row r="357" spans="1:14" x14ac:dyDescent="0.35">
      <c r="A357" s="6">
        <v>46013</v>
      </c>
      <c r="B357" s="7" t="s">
        <v>55</v>
      </c>
      <c r="C357" s="2" t="str">
        <f t="shared" si="35"/>
        <v>Dec</v>
      </c>
      <c r="D357" s="2" t="str">
        <f t="shared" si="36"/>
        <v>Off-Peak</v>
      </c>
      <c r="E357" s="2" t="str">
        <f t="shared" si="37"/>
        <v>Mon</v>
      </c>
      <c r="F357" s="8">
        <v>110</v>
      </c>
      <c r="G357" s="8">
        <v>150</v>
      </c>
      <c r="H357" s="9">
        <v>19269.89</v>
      </c>
      <c r="I357" s="10">
        <v>187.71</v>
      </c>
      <c r="J357" s="11">
        <f t="shared" si="38"/>
        <v>0.73333333333333328</v>
      </c>
      <c r="K357" s="10">
        <f t="shared" si="39"/>
        <v>175.18081818181818</v>
      </c>
      <c r="L357" s="10">
        <f t="shared" si="40"/>
        <v>128.46593333333334</v>
      </c>
      <c r="M357" s="5">
        <f t="shared" si="41"/>
        <v>-12.529181818181826</v>
      </c>
      <c r="N357" s="1" t="s">
        <v>22</v>
      </c>
    </row>
    <row r="358" spans="1:14" x14ac:dyDescent="0.35">
      <c r="A358" s="6">
        <v>46014</v>
      </c>
      <c r="B358" s="7" t="s">
        <v>55</v>
      </c>
      <c r="C358" s="2" t="str">
        <f t="shared" si="35"/>
        <v>Dec</v>
      </c>
      <c r="D358" s="2" t="str">
        <f t="shared" si="36"/>
        <v>Off-Peak</v>
      </c>
      <c r="E358" s="2" t="str">
        <f t="shared" si="37"/>
        <v>Tue</v>
      </c>
      <c r="F358" s="8">
        <v>116</v>
      </c>
      <c r="G358" s="8">
        <v>150</v>
      </c>
      <c r="H358" s="9">
        <v>22426.18</v>
      </c>
      <c r="I358" s="10">
        <v>186.73</v>
      </c>
      <c r="J358" s="11">
        <f t="shared" si="38"/>
        <v>0.77333333333333332</v>
      </c>
      <c r="K358" s="10">
        <f t="shared" si="39"/>
        <v>193.3291379310345</v>
      </c>
      <c r="L358" s="10">
        <f t="shared" si="40"/>
        <v>149.50786666666667</v>
      </c>
      <c r="M358" s="5">
        <f t="shared" si="41"/>
        <v>6.5991379310345053</v>
      </c>
      <c r="N358" s="1" t="s">
        <v>22</v>
      </c>
    </row>
    <row r="359" spans="1:14" x14ac:dyDescent="0.35">
      <c r="A359" s="6">
        <v>46015</v>
      </c>
      <c r="B359" s="7" t="s">
        <v>55</v>
      </c>
      <c r="C359" s="2" t="str">
        <f t="shared" si="35"/>
        <v>Dec</v>
      </c>
      <c r="D359" s="2" t="str">
        <f t="shared" si="36"/>
        <v>Off-Peak</v>
      </c>
      <c r="E359" s="2" t="str">
        <f t="shared" si="37"/>
        <v>Wed</v>
      </c>
      <c r="F359" s="8">
        <v>102</v>
      </c>
      <c r="G359" s="8">
        <v>150</v>
      </c>
      <c r="H359" s="9">
        <v>16857.900000000001</v>
      </c>
      <c r="I359" s="10">
        <v>162.72999999999999</v>
      </c>
      <c r="J359" s="11">
        <f t="shared" si="38"/>
        <v>0.68</v>
      </c>
      <c r="K359" s="10">
        <f t="shared" si="39"/>
        <v>165.27352941176471</v>
      </c>
      <c r="L359" s="10">
        <f t="shared" si="40"/>
        <v>112.38600000000001</v>
      </c>
      <c r="M359" s="5">
        <f t="shared" si="41"/>
        <v>2.5435294117647231</v>
      </c>
      <c r="N359" s="1"/>
    </row>
    <row r="360" spans="1:14" x14ac:dyDescent="0.35">
      <c r="A360" s="6">
        <v>46016</v>
      </c>
      <c r="B360" s="7" t="s">
        <v>55</v>
      </c>
      <c r="C360" s="2" t="str">
        <f t="shared" si="35"/>
        <v>Dec</v>
      </c>
      <c r="D360" s="2" t="str">
        <f t="shared" si="36"/>
        <v>Off-Peak</v>
      </c>
      <c r="E360" s="2" t="str">
        <f t="shared" si="37"/>
        <v>Thu</v>
      </c>
      <c r="F360" s="8">
        <v>108</v>
      </c>
      <c r="G360" s="8">
        <v>150</v>
      </c>
      <c r="H360" s="9">
        <v>18845.580000000002</v>
      </c>
      <c r="I360" s="10">
        <v>171.45</v>
      </c>
      <c r="J360" s="11">
        <f t="shared" si="38"/>
        <v>0.72</v>
      </c>
      <c r="K360" s="10">
        <f t="shared" si="39"/>
        <v>174.49611111111113</v>
      </c>
      <c r="L360" s="10">
        <f t="shared" si="40"/>
        <v>125.63720000000001</v>
      </c>
      <c r="M360" s="5">
        <f t="shared" si="41"/>
        <v>3.046111111111145</v>
      </c>
      <c r="N360" s="1"/>
    </row>
    <row r="361" spans="1:14" x14ac:dyDescent="0.35">
      <c r="A361" s="6">
        <v>46017</v>
      </c>
      <c r="B361" s="7" t="s">
        <v>55</v>
      </c>
      <c r="C361" s="2" t="str">
        <f t="shared" si="35"/>
        <v>Dec</v>
      </c>
      <c r="D361" s="2" t="str">
        <f t="shared" si="36"/>
        <v>Off-Peak</v>
      </c>
      <c r="E361" s="2" t="str">
        <f t="shared" si="37"/>
        <v>Fri</v>
      </c>
      <c r="F361" s="8">
        <v>118</v>
      </c>
      <c r="G361" s="8">
        <v>150</v>
      </c>
      <c r="H361" s="9">
        <v>21498.37</v>
      </c>
      <c r="I361" s="10">
        <v>176.4</v>
      </c>
      <c r="J361" s="11">
        <f t="shared" si="38"/>
        <v>0.78666666666666663</v>
      </c>
      <c r="K361" s="10">
        <f t="shared" si="39"/>
        <v>182.18957627118644</v>
      </c>
      <c r="L361" s="10">
        <f t="shared" si="40"/>
        <v>143.32246666666666</v>
      </c>
      <c r="M361" s="5">
        <f t="shared" si="41"/>
        <v>5.7895762711864336</v>
      </c>
      <c r="N361" s="1"/>
    </row>
    <row r="362" spans="1:14" x14ac:dyDescent="0.35">
      <c r="A362" s="6">
        <v>46018</v>
      </c>
      <c r="B362" s="7" t="s">
        <v>55</v>
      </c>
      <c r="C362" s="2" t="str">
        <f t="shared" si="35"/>
        <v>Dec</v>
      </c>
      <c r="D362" s="2" t="str">
        <f t="shared" si="36"/>
        <v>Off-Peak</v>
      </c>
      <c r="E362" s="2" t="str">
        <f t="shared" si="37"/>
        <v>Sat</v>
      </c>
      <c r="F362" s="8">
        <v>113</v>
      </c>
      <c r="G362" s="8">
        <v>150</v>
      </c>
      <c r="H362" s="9">
        <v>21024.43</v>
      </c>
      <c r="I362" s="10">
        <v>179.24</v>
      </c>
      <c r="J362" s="11">
        <f t="shared" si="38"/>
        <v>0.7533333333333333</v>
      </c>
      <c r="K362" s="10">
        <f t="shared" si="39"/>
        <v>186.05690265486726</v>
      </c>
      <c r="L362" s="10">
        <f t="shared" si="40"/>
        <v>140.16286666666667</v>
      </c>
      <c r="M362" s="5">
        <f t="shared" si="41"/>
        <v>6.8169026548672491</v>
      </c>
      <c r="N362" s="1"/>
    </row>
    <row r="363" spans="1:14" x14ac:dyDescent="0.35">
      <c r="A363" s="6">
        <v>46019</v>
      </c>
      <c r="B363" s="7" t="s">
        <v>55</v>
      </c>
      <c r="C363" s="2" t="str">
        <f t="shared" si="35"/>
        <v>Dec</v>
      </c>
      <c r="D363" s="2" t="str">
        <f t="shared" si="36"/>
        <v>Off-Peak</v>
      </c>
      <c r="E363" s="2" t="str">
        <f t="shared" si="37"/>
        <v>Sun</v>
      </c>
      <c r="F363" s="8">
        <v>97</v>
      </c>
      <c r="G363" s="8">
        <v>150</v>
      </c>
      <c r="H363" s="9">
        <v>15258.01</v>
      </c>
      <c r="I363" s="10">
        <v>164.67</v>
      </c>
      <c r="J363" s="11">
        <f t="shared" si="38"/>
        <v>0.64666666666666661</v>
      </c>
      <c r="K363" s="10">
        <f t="shared" si="39"/>
        <v>157.29907216494846</v>
      </c>
      <c r="L363" s="10">
        <f t="shared" si="40"/>
        <v>101.72006666666667</v>
      </c>
      <c r="M363" s="5">
        <f t="shared" si="41"/>
        <v>-7.3709278350515319</v>
      </c>
      <c r="N363" s="1"/>
    </row>
    <row r="364" spans="1:14" x14ac:dyDescent="0.35">
      <c r="A364" s="6">
        <v>46020</v>
      </c>
      <c r="B364" s="7" t="s">
        <v>55</v>
      </c>
      <c r="C364" s="2" t="str">
        <f t="shared" si="35"/>
        <v>Dec</v>
      </c>
      <c r="D364" s="2" t="str">
        <f t="shared" si="36"/>
        <v>Off-Peak</v>
      </c>
      <c r="E364" s="2" t="str">
        <f t="shared" si="37"/>
        <v>Mon</v>
      </c>
      <c r="F364" s="8">
        <v>104</v>
      </c>
      <c r="G364" s="8">
        <v>150</v>
      </c>
      <c r="H364" s="9">
        <v>16198.55</v>
      </c>
      <c r="I364" s="10">
        <v>160.25</v>
      </c>
      <c r="J364" s="11">
        <f t="shared" si="38"/>
        <v>0.69333333333333336</v>
      </c>
      <c r="K364" s="10">
        <f t="shared" si="39"/>
        <v>155.75528846153844</v>
      </c>
      <c r="L364" s="10">
        <f t="shared" si="40"/>
        <v>107.99033333333333</v>
      </c>
      <c r="M364" s="5">
        <f t="shared" si="41"/>
        <v>-4.4947115384615586</v>
      </c>
      <c r="N364" s="1"/>
    </row>
    <row r="365" spans="1:14" x14ac:dyDescent="0.35">
      <c r="A365" s="6">
        <v>46021</v>
      </c>
      <c r="B365" s="7" t="s">
        <v>55</v>
      </c>
      <c r="C365" s="2" t="str">
        <f t="shared" si="35"/>
        <v>Dec</v>
      </c>
      <c r="D365" s="2" t="str">
        <f t="shared" si="36"/>
        <v>Off-Peak</v>
      </c>
      <c r="E365" s="2" t="str">
        <f t="shared" si="37"/>
        <v>Tue</v>
      </c>
      <c r="F365" s="8">
        <v>100</v>
      </c>
      <c r="G365" s="8">
        <v>150</v>
      </c>
      <c r="H365" s="9">
        <v>16589.68</v>
      </c>
      <c r="I365" s="10">
        <v>168.3</v>
      </c>
      <c r="J365" s="11">
        <f t="shared" si="38"/>
        <v>0.66666666666666663</v>
      </c>
      <c r="K365" s="10">
        <f t="shared" si="39"/>
        <v>165.89680000000001</v>
      </c>
      <c r="L365" s="10">
        <f t="shared" si="40"/>
        <v>110.59786666666668</v>
      </c>
      <c r="M365" s="5">
        <f t="shared" si="41"/>
        <v>-2.4031999999999982</v>
      </c>
      <c r="N365" s="1"/>
    </row>
    <row r="366" spans="1:14" x14ac:dyDescent="0.35">
      <c r="A366" s="6">
        <v>46022</v>
      </c>
      <c r="B366" s="7" t="s">
        <v>55</v>
      </c>
      <c r="C366" s="2" t="str">
        <f t="shared" si="35"/>
        <v>Dec</v>
      </c>
      <c r="D366" s="2" t="str">
        <f t="shared" si="36"/>
        <v>Off-Peak</v>
      </c>
      <c r="E366" s="2" t="str">
        <f t="shared" si="37"/>
        <v>Wed</v>
      </c>
      <c r="F366" s="8">
        <v>144</v>
      </c>
      <c r="G366" s="8">
        <v>150</v>
      </c>
      <c r="H366" s="9">
        <v>36937.120000000003</v>
      </c>
      <c r="I366" s="10">
        <v>230.59</v>
      </c>
      <c r="J366" s="11">
        <f t="shared" si="38"/>
        <v>0.96</v>
      </c>
      <c r="K366" s="10">
        <f t="shared" si="39"/>
        <v>256.50777777777779</v>
      </c>
      <c r="L366" s="10">
        <f t="shared" si="40"/>
        <v>246.2474666666667</v>
      </c>
      <c r="M366" s="5">
        <f t="shared" si="41"/>
        <v>25.917777777777786</v>
      </c>
      <c r="N366" s="1" t="s">
        <v>23</v>
      </c>
    </row>
    <row r="367" spans="1:14" x14ac:dyDescent="0.35">
      <c r="A367" s="6">
        <v>45658</v>
      </c>
      <c r="B367" s="7" t="s">
        <v>56</v>
      </c>
      <c r="C367" s="2" t="str">
        <f t="shared" si="35"/>
        <v>Jan</v>
      </c>
      <c r="D367" s="2" t="str">
        <f t="shared" si="36"/>
        <v>Off-Peak</v>
      </c>
      <c r="E367" s="2" t="str">
        <f t="shared" si="37"/>
        <v>Wed</v>
      </c>
      <c r="F367" s="8">
        <v>117</v>
      </c>
      <c r="G367" s="8">
        <v>125</v>
      </c>
      <c r="H367" s="9">
        <v>32059</v>
      </c>
      <c r="I367" s="10">
        <v>235</v>
      </c>
      <c r="J367" s="11">
        <f t="shared" si="38"/>
        <v>0.93600000000000005</v>
      </c>
      <c r="K367" s="10">
        <f t="shared" si="39"/>
        <v>274.008547008547</v>
      </c>
      <c r="L367" s="10">
        <f t="shared" si="40"/>
        <v>256.47199999999998</v>
      </c>
      <c r="M367" s="5">
        <f t="shared" si="41"/>
        <v>39.008547008546998</v>
      </c>
      <c r="N367" s="1"/>
    </row>
    <row r="368" spans="1:14" x14ac:dyDescent="0.35">
      <c r="A368" s="6">
        <v>45659</v>
      </c>
      <c r="B368" s="7" t="s">
        <v>56</v>
      </c>
      <c r="C368" s="2" t="str">
        <f t="shared" si="35"/>
        <v>Jan</v>
      </c>
      <c r="D368" s="2" t="str">
        <f t="shared" si="36"/>
        <v>Off-Peak</v>
      </c>
      <c r="E368" s="2" t="str">
        <f t="shared" si="37"/>
        <v>Thu</v>
      </c>
      <c r="F368" s="8">
        <v>92</v>
      </c>
      <c r="G368" s="8">
        <v>125</v>
      </c>
      <c r="H368" s="9">
        <v>25274</v>
      </c>
      <c r="I368" s="10">
        <v>239</v>
      </c>
      <c r="J368" s="11">
        <f t="shared" si="38"/>
        <v>0.73599999999999999</v>
      </c>
      <c r="K368" s="10">
        <f t="shared" si="39"/>
        <v>274.71739130434781</v>
      </c>
      <c r="L368" s="10">
        <f t="shared" si="40"/>
        <v>202.19200000000001</v>
      </c>
      <c r="M368" s="5">
        <f t="shared" si="41"/>
        <v>35.717391304347814</v>
      </c>
      <c r="N368" s="1"/>
    </row>
    <row r="369" spans="1:14" x14ac:dyDescent="0.35">
      <c r="A369" s="6">
        <v>45660</v>
      </c>
      <c r="B369" s="7" t="s">
        <v>56</v>
      </c>
      <c r="C369" s="2" t="str">
        <f t="shared" si="35"/>
        <v>Jan</v>
      </c>
      <c r="D369" s="2" t="str">
        <f t="shared" si="36"/>
        <v>Off-Peak</v>
      </c>
      <c r="E369" s="2" t="str">
        <f t="shared" si="37"/>
        <v>Fri</v>
      </c>
      <c r="F369" s="8">
        <v>115</v>
      </c>
      <c r="G369" s="8">
        <v>125</v>
      </c>
      <c r="H369" s="9">
        <v>13817</v>
      </c>
      <c r="I369" s="10">
        <v>202</v>
      </c>
      <c r="J369" s="11">
        <f t="shared" si="38"/>
        <v>0.92</v>
      </c>
      <c r="K369" s="10">
        <f t="shared" si="39"/>
        <v>120.14782608695653</v>
      </c>
      <c r="L369" s="10">
        <f t="shared" si="40"/>
        <v>110.536</v>
      </c>
      <c r="M369" s="5">
        <f t="shared" si="41"/>
        <v>-81.852173913043472</v>
      </c>
      <c r="N369" s="1"/>
    </row>
    <row r="370" spans="1:14" x14ac:dyDescent="0.35">
      <c r="A370" s="6">
        <v>45661</v>
      </c>
      <c r="B370" s="7" t="s">
        <v>56</v>
      </c>
      <c r="C370" s="2" t="str">
        <f t="shared" si="35"/>
        <v>Jan</v>
      </c>
      <c r="D370" s="2" t="str">
        <f t="shared" si="36"/>
        <v>Off-Peak</v>
      </c>
      <c r="E370" s="2" t="str">
        <f t="shared" si="37"/>
        <v>Sat</v>
      </c>
      <c r="F370" s="8">
        <v>96</v>
      </c>
      <c r="G370" s="8">
        <v>125</v>
      </c>
      <c r="H370" s="9">
        <v>12128</v>
      </c>
      <c r="I370" s="10">
        <v>168</v>
      </c>
      <c r="J370" s="11">
        <f t="shared" si="38"/>
        <v>0.76800000000000002</v>
      </c>
      <c r="K370" s="10">
        <f t="shared" si="39"/>
        <v>126.33333333333333</v>
      </c>
      <c r="L370" s="10">
        <f t="shared" si="40"/>
        <v>97.024000000000001</v>
      </c>
      <c r="M370" s="5">
        <f t="shared" si="41"/>
        <v>-41.666666666666671</v>
      </c>
      <c r="N370" s="1"/>
    </row>
    <row r="371" spans="1:14" x14ac:dyDescent="0.35">
      <c r="A371" s="6">
        <v>45662</v>
      </c>
      <c r="B371" s="7" t="s">
        <v>56</v>
      </c>
      <c r="C371" s="2" t="str">
        <f t="shared" si="35"/>
        <v>Jan</v>
      </c>
      <c r="D371" s="2" t="str">
        <f t="shared" si="36"/>
        <v>Off-Peak</v>
      </c>
      <c r="E371" s="2" t="str">
        <f t="shared" si="37"/>
        <v>Sun</v>
      </c>
      <c r="F371" s="8">
        <v>111</v>
      </c>
      <c r="G371" s="8">
        <v>125</v>
      </c>
      <c r="H371" s="9">
        <v>23958</v>
      </c>
      <c r="I371" s="10">
        <v>218</v>
      </c>
      <c r="J371" s="11">
        <f t="shared" si="38"/>
        <v>0.88800000000000001</v>
      </c>
      <c r="K371" s="10">
        <f t="shared" si="39"/>
        <v>215.83783783783784</v>
      </c>
      <c r="L371" s="10">
        <f t="shared" si="40"/>
        <v>191.66399999999999</v>
      </c>
      <c r="M371" s="5">
        <f t="shared" si="41"/>
        <v>-2.1621621621621614</v>
      </c>
      <c r="N371" s="1"/>
    </row>
    <row r="372" spans="1:14" x14ac:dyDescent="0.35">
      <c r="A372" s="6">
        <v>45663</v>
      </c>
      <c r="B372" s="7" t="s">
        <v>56</v>
      </c>
      <c r="C372" s="2" t="str">
        <f t="shared" si="35"/>
        <v>Jan</v>
      </c>
      <c r="D372" s="2" t="str">
        <f t="shared" si="36"/>
        <v>Off-Peak</v>
      </c>
      <c r="E372" s="2" t="str">
        <f t="shared" si="37"/>
        <v>Mon</v>
      </c>
      <c r="F372" s="8">
        <v>95</v>
      </c>
      <c r="G372" s="8">
        <v>125</v>
      </c>
      <c r="H372" s="9">
        <v>21179</v>
      </c>
      <c r="I372" s="10">
        <v>245</v>
      </c>
      <c r="J372" s="11">
        <f t="shared" si="38"/>
        <v>0.76</v>
      </c>
      <c r="K372" s="10">
        <f t="shared" si="39"/>
        <v>222.93684210526317</v>
      </c>
      <c r="L372" s="10">
        <f t="shared" si="40"/>
        <v>169.43199999999999</v>
      </c>
      <c r="M372" s="5">
        <f t="shared" si="41"/>
        <v>-22.063157894736833</v>
      </c>
      <c r="N372" s="1"/>
    </row>
    <row r="373" spans="1:14" x14ac:dyDescent="0.35">
      <c r="A373" s="6">
        <v>45664</v>
      </c>
      <c r="B373" s="7" t="s">
        <v>56</v>
      </c>
      <c r="C373" s="2" t="str">
        <f t="shared" si="35"/>
        <v>Jan</v>
      </c>
      <c r="D373" s="2" t="str">
        <f t="shared" si="36"/>
        <v>Off-Peak</v>
      </c>
      <c r="E373" s="2" t="str">
        <f t="shared" si="37"/>
        <v>Tue</v>
      </c>
      <c r="F373" s="8">
        <v>99</v>
      </c>
      <c r="G373" s="8">
        <v>125</v>
      </c>
      <c r="H373" s="9">
        <v>31180</v>
      </c>
      <c r="I373" s="10">
        <v>162</v>
      </c>
      <c r="J373" s="11">
        <f t="shared" si="38"/>
        <v>0.79200000000000004</v>
      </c>
      <c r="K373" s="10">
        <f t="shared" si="39"/>
        <v>314.94949494949498</v>
      </c>
      <c r="L373" s="10">
        <f t="shared" si="40"/>
        <v>249.44</v>
      </c>
      <c r="M373" s="5">
        <f t="shared" si="41"/>
        <v>152.94949494949498</v>
      </c>
      <c r="N373" s="1"/>
    </row>
    <row r="374" spans="1:14" x14ac:dyDescent="0.35">
      <c r="A374" s="6">
        <v>45665</v>
      </c>
      <c r="B374" s="7" t="s">
        <v>56</v>
      </c>
      <c r="C374" s="2" t="str">
        <f t="shared" si="35"/>
        <v>Jan</v>
      </c>
      <c r="D374" s="2" t="str">
        <f t="shared" si="36"/>
        <v>Off-Peak</v>
      </c>
      <c r="E374" s="2" t="str">
        <f t="shared" si="37"/>
        <v>Wed</v>
      </c>
      <c r="F374" s="8">
        <v>91</v>
      </c>
      <c r="G374" s="8">
        <v>125</v>
      </c>
      <c r="H374" s="9">
        <v>33980</v>
      </c>
      <c r="I374" s="10">
        <v>243</v>
      </c>
      <c r="J374" s="11">
        <f t="shared" si="38"/>
        <v>0.72799999999999998</v>
      </c>
      <c r="K374" s="10">
        <f t="shared" si="39"/>
        <v>373.4065934065934</v>
      </c>
      <c r="L374" s="10">
        <f t="shared" si="40"/>
        <v>271.83999999999997</v>
      </c>
      <c r="M374" s="5">
        <f t="shared" si="41"/>
        <v>130.4065934065934</v>
      </c>
      <c r="N374" s="1"/>
    </row>
    <row r="375" spans="1:14" x14ac:dyDescent="0.35">
      <c r="A375" s="6">
        <v>45666</v>
      </c>
      <c r="B375" s="7" t="s">
        <v>56</v>
      </c>
      <c r="C375" s="2" t="str">
        <f t="shared" si="35"/>
        <v>Jan</v>
      </c>
      <c r="D375" s="2" t="str">
        <f t="shared" si="36"/>
        <v>Off-Peak</v>
      </c>
      <c r="E375" s="2" t="str">
        <f t="shared" si="37"/>
        <v>Thu</v>
      </c>
      <c r="F375" s="8">
        <v>91</v>
      </c>
      <c r="G375" s="8">
        <v>125</v>
      </c>
      <c r="H375" s="9">
        <v>30255</v>
      </c>
      <c r="I375" s="10">
        <v>161</v>
      </c>
      <c r="J375" s="11">
        <f t="shared" si="38"/>
        <v>0.72799999999999998</v>
      </c>
      <c r="K375" s="10">
        <f t="shared" si="39"/>
        <v>332.47252747252747</v>
      </c>
      <c r="L375" s="10">
        <f t="shared" si="40"/>
        <v>242.04</v>
      </c>
      <c r="M375" s="5">
        <f t="shared" si="41"/>
        <v>171.47252747252747</v>
      </c>
      <c r="N375" s="1"/>
    </row>
    <row r="376" spans="1:14" x14ac:dyDescent="0.35">
      <c r="A376" s="6">
        <v>45667</v>
      </c>
      <c r="B376" s="7" t="s">
        <v>56</v>
      </c>
      <c r="C376" s="2" t="str">
        <f t="shared" si="35"/>
        <v>Jan</v>
      </c>
      <c r="D376" s="2" t="str">
        <f t="shared" si="36"/>
        <v>Off-Peak</v>
      </c>
      <c r="E376" s="2" t="str">
        <f t="shared" si="37"/>
        <v>Fri</v>
      </c>
      <c r="F376" s="8">
        <v>87</v>
      </c>
      <c r="G376" s="8">
        <v>125</v>
      </c>
      <c r="H376" s="9">
        <v>22431</v>
      </c>
      <c r="I376" s="10">
        <v>124</v>
      </c>
      <c r="J376" s="11">
        <f t="shared" si="38"/>
        <v>0.69599999999999995</v>
      </c>
      <c r="K376" s="10">
        <f t="shared" si="39"/>
        <v>257.82758620689657</v>
      </c>
      <c r="L376" s="10">
        <f t="shared" si="40"/>
        <v>179.44800000000001</v>
      </c>
      <c r="M376" s="5">
        <f t="shared" si="41"/>
        <v>133.82758620689657</v>
      </c>
      <c r="N376" s="1"/>
    </row>
    <row r="377" spans="1:14" x14ac:dyDescent="0.35">
      <c r="A377" s="6">
        <v>45668</v>
      </c>
      <c r="B377" s="7" t="s">
        <v>56</v>
      </c>
      <c r="C377" s="2" t="str">
        <f t="shared" si="35"/>
        <v>Jan</v>
      </c>
      <c r="D377" s="2" t="str">
        <f t="shared" si="36"/>
        <v>Off-Peak</v>
      </c>
      <c r="E377" s="2" t="str">
        <f t="shared" si="37"/>
        <v>Sat</v>
      </c>
      <c r="F377" s="8">
        <v>93</v>
      </c>
      <c r="G377" s="8">
        <v>125</v>
      </c>
      <c r="H377" s="9">
        <v>32259</v>
      </c>
      <c r="I377" s="10">
        <v>159</v>
      </c>
      <c r="J377" s="11">
        <f t="shared" si="38"/>
        <v>0.74399999999999999</v>
      </c>
      <c r="K377" s="10">
        <f t="shared" si="39"/>
        <v>346.87096774193549</v>
      </c>
      <c r="L377" s="10">
        <f t="shared" si="40"/>
        <v>258.072</v>
      </c>
      <c r="M377" s="5">
        <f t="shared" si="41"/>
        <v>187.87096774193549</v>
      </c>
      <c r="N377" s="1"/>
    </row>
    <row r="378" spans="1:14" x14ac:dyDescent="0.35">
      <c r="A378" s="6">
        <v>45669</v>
      </c>
      <c r="B378" s="7" t="s">
        <v>56</v>
      </c>
      <c r="C378" s="2" t="str">
        <f t="shared" si="35"/>
        <v>Jan</v>
      </c>
      <c r="D378" s="2" t="str">
        <f t="shared" si="36"/>
        <v>Off-Peak</v>
      </c>
      <c r="E378" s="2" t="str">
        <f t="shared" si="37"/>
        <v>Sun</v>
      </c>
      <c r="F378" s="8">
        <v>104</v>
      </c>
      <c r="G378" s="8">
        <v>125</v>
      </c>
      <c r="H378" s="9">
        <v>31609</v>
      </c>
      <c r="I378" s="10">
        <v>154</v>
      </c>
      <c r="J378" s="11">
        <f t="shared" si="38"/>
        <v>0.83199999999999996</v>
      </c>
      <c r="K378" s="10">
        <f t="shared" si="39"/>
        <v>303.93269230769232</v>
      </c>
      <c r="L378" s="10">
        <f t="shared" si="40"/>
        <v>252.87200000000001</v>
      </c>
      <c r="M378" s="5">
        <f t="shared" si="41"/>
        <v>149.93269230769232</v>
      </c>
      <c r="N378" s="1"/>
    </row>
    <row r="379" spans="1:14" x14ac:dyDescent="0.35">
      <c r="A379" s="6">
        <v>45670</v>
      </c>
      <c r="B379" s="7" t="s">
        <v>56</v>
      </c>
      <c r="C379" s="2" t="str">
        <f t="shared" si="35"/>
        <v>Jan</v>
      </c>
      <c r="D379" s="2" t="str">
        <f t="shared" si="36"/>
        <v>Off-Peak</v>
      </c>
      <c r="E379" s="2" t="str">
        <f t="shared" si="37"/>
        <v>Mon</v>
      </c>
      <c r="F379" s="8">
        <v>99</v>
      </c>
      <c r="G379" s="8">
        <v>125</v>
      </c>
      <c r="H379" s="9">
        <v>15580</v>
      </c>
      <c r="I379" s="10">
        <v>202</v>
      </c>
      <c r="J379" s="11">
        <f t="shared" si="38"/>
        <v>0.79200000000000004</v>
      </c>
      <c r="K379" s="10">
        <f t="shared" si="39"/>
        <v>157.37373737373738</v>
      </c>
      <c r="L379" s="10">
        <f t="shared" si="40"/>
        <v>124.64</v>
      </c>
      <c r="M379" s="5">
        <f t="shared" si="41"/>
        <v>-44.626262626262616</v>
      </c>
      <c r="N379" s="1"/>
    </row>
    <row r="380" spans="1:14" x14ac:dyDescent="0.35">
      <c r="A380" s="6">
        <v>45671</v>
      </c>
      <c r="B380" s="7" t="s">
        <v>56</v>
      </c>
      <c r="C380" s="2" t="str">
        <f t="shared" si="35"/>
        <v>Jan</v>
      </c>
      <c r="D380" s="2" t="str">
        <f t="shared" si="36"/>
        <v>Off-Peak</v>
      </c>
      <c r="E380" s="2" t="str">
        <f t="shared" si="37"/>
        <v>Tue</v>
      </c>
      <c r="F380" s="8">
        <v>102</v>
      </c>
      <c r="G380" s="8">
        <v>125</v>
      </c>
      <c r="H380" s="9">
        <v>30395</v>
      </c>
      <c r="I380" s="10">
        <v>203</v>
      </c>
      <c r="J380" s="11">
        <f t="shared" si="38"/>
        <v>0.81599999999999995</v>
      </c>
      <c r="K380" s="10">
        <f t="shared" si="39"/>
        <v>297.99019607843138</v>
      </c>
      <c r="L380" s="10">
        <f t="shared" si="40"/>
        <v>243.16</v>
      </c>
      <c r="M380" s="5">
        <f t="shared" si="41"/>
        <v>94.990196078431381</v>
      </c>
      <c r="N380" s="1"/>
    </row>
    <row r="381" spans="1:14" x14ac:dyDescent="0.35">
      <c r="A381" s="6">
        <v>45672</v>
      </c>
      <c r="B381" s="7" t="s">
        <v>56</v>
      </c>
      <c r="C381" s="2" t="str">
        <f t="shared" si="35"/>
        <v>Jan</v>
      </c>
      <c r="D381" s="2" t="str">
        <f t="shared" si="36"/>
        <v>Off-Peak</v>
      </c>
      <c r="E381" s="2" t="str">
        <f t="shared" si="37"/>
        <v>Wed</v>
      </c>
      <c r="F381" s="8">
        <v>109</v>
      </c>
      <c r="G381" s="8">
        <v>125</v>
      </c>
      <c r="H381" s="9">
        <v>31722</v>
      </c>
      <c r="I381" s="10">
        <v>121</v>
      </c>
      <c r="J381" s="11">
        <f t="shared" si="38"/>
        <v>0.872</v>
      </c>
      <c r="K381" s="10">
        <f t="shared" si="39"/>
        <v>291.02752293577981</v>
      </c>
      <c r="L381" s="10">
        <f t="shared" si="40"/>
        <v>253.77600000000001</v>
      </c>
      <c r="M381" s="5">
        <f t="shared" si="41"/>
        <v>170.02752293577981</v>
      </c>
      <c r="N381" s="1"/>
    </row>
    <row r="382" spans="1:14" x14ac:dyDescent="0.35">
      <c r="A382" s="6">
        <v>45673</v>
      </c>
      <c r="B382" s="7" t="s">
        <v>56</v>
      </c>
      <c r="C382" s="2" t="str">
        <f t="shared" si="35"/>
        <v>Jan</v>
      </c>
      <c r="D382" s="2" t="str">
        <f t="shared" si="36"/>
        <v>Off-Peak</v>
      </c>
      <c r="E382" s="2" t="str">
        <f t="shared" si="37"/>
        <v>Thu</v>
      </c>
      <c r="F382" s="8">
        <v>93</v>
      </c>
      <c r="G382" s="8">
        <v>125</v>
      </c>
      <c r="H382" s="9">
        <v>13243</v>
      </c>
      <c r="I382" s="10">
        <v>138</v>
      </c>
      <c r="J382" s="11">
        <f t="shared" si="38"/>
        <v>0.74399999999999999</v>
      </c>
      <c r="K382" s="10">
        <f t="shared" si="39"/>
        <v>142.3978494623656</v>
      </c>
      <c r="L382" s="10">
        <f t="shared" si="40"/>
        <v>105.944</v>
      </c>
      <c r="M382" s="5">
        <f t="shared" si="41"/>
        <v>4.397849462365599</v>
      </c>
      <c r="N382" s="1"/>
    </row>
    <row r="383" spans="1:14" x14ac:dyDescent="0.35">
      <c r="A383" s="6">
        <v>45674</v>
      </c>
      <c r="B383" s="7" t="s">
        <v>56</v>
      </c>
      <c r="C383" s="2" t="str">
        <f t="shared" si="35"/>
        <v>Jan</v>
      </c>
      <c r="D383" s="2" t="str">
        <f t="shared" si="36"/>
        <v>Off-Peak</v>
      </c>
      <c r="E383" s="2" t="str">
        <f t="shared" si="37"/>
        <v>Fri</v>
      </c>
      <c r="F383" s="8">
        <v>104</v>
      </c>
      <c r="G383" s="8">
        <v>125</v>
      </c>
      <c r="H383" s="9">
        <v>15005</v>
      </c>
      <c r="I383" s="10">
        <v>250</v>
      </c>
      <c r="J383" s="11">
        <f t="shared" si="38"/>
        <v>0.83199999999999996</v>
      </c>
      <c r="K383" s="10">
        <f t="shared" si="39"/>
        <v>144.27884615384616</v>
      </c>
      <c r="L383" s="10">
        <f t="shared" si="40"/>
        <v>120.04</v>
      </c>
      <c r="M383" s="5">
        <f t="shared" si="41"/>
        <v>-105.72115384615384</v>
      </c>
      <c r="N383" s="1"/>
    </row>
    <row r="384" spans="1:14" x14ac:dyDescent="0.35">
      <c r="A384" s="6">
        <v>45675</v>
      </c>
      <c r="B384" s="7" t="s">
        <v>56</v>
      </c>
      <c r="C384" s="2" t="str">
        <f t="shared" si="35"/>
        <v>Jan</v>
      </c>
      <c r="D384" s="2" t="str">
        <f t="shared" si="36"/>
        <v>Off-Peak</v>
      </c>
      <c r="E384" s="2" t="str">
        <f t="shared" si="37"/>
        <v>Sat</v>
      </c>
      <c r="F384" s="8">
        <v>90</v>
      </c>
      <c r="G384" s="8">
        <v>125</v>
      </c>
      <c r="H384" s="9">
        <v>22268</v>
      </c>
      <c r="I384" s="10">
        <v>244</v>
      </c>
      <c r="J384" s="11">
        <f t="shared" si="38"/>
        <v>0.72</v>
      </c>
      <c r="K384" s="10">
        <f t="shared" si="39"/>
        <v>247.42222222222222</v>
      </c>
      <c r="L384" s="10">
        <f t="shared" si="40"/>
        <v>178.14400000000001</v>
      </c>
      <c r="M384" s="5">
        <f t="shared" si="41"/>
        <v>3.4222222222222172</v>
      </c>
      <c r="N384" s="1"/>
    </row>
    <row r="385" spans="1:14" x14ac:dyDescent="0.35">
      <c r="A385" s="6">
        <v>45676</v>
      </c>
      <c r="B385" s="7" t="s">
        <v>56</v>
      </c>
      <c r="C385" s="2" t="str">
        <f t="shared" si="35"/>
        <v>Jan</v>
      </c>
      <c r="D385" s="2" t="str">
        <f t="shared" si="36"/>
        <v>Off-Peak</v>
      </c>
      <c r="E385" s="2" t="str">
        <f t="shared" si="37"/>
        <v>Sun</v>
      </c>
      <c r="F385" s="8">
        <v>116</v>
      </c>
      <c r="G385" s="8">
        <v>125</v>
      </c>
      <c r="H385" s="9">
        <v>13543</v>
      </c>
      <c r="I385" s="10">
        <v>158</v>
      </c>
      <c r="J385" s="11">
        <f t="shared" si="38"/>
        <v>0.92800000000000005</v>
      </c>
      <c r="K385" s="10">
        <f t="shared" si="39"/>
        <v>116.75</v>
      </c>
      <c r="L385" s="10">
        <f t="shared" si="40"/>
        <v>108.34399999999999</v>
      </c>
      <c r="M385" s="5">
        <f t="shared" si="41"/>
        <v>-41.25</v>
      </c>
      <c r="N385" s="1"/>
    </row>
    <row r="386" spans="1:14" x14ac:dyDescent="0.35">
      <c r="A386" s="6">
        <v>45677</v>
      </c>
      <c r="B386" s="7" t="s">
        <v>56</v>
      </c>
      <c r="C386" s="2" t="str">
        <f t="shared" ref="C386:C449" si="42">CHOOSE(MONTH(A386),"Jan","Feb","Mar","Apr","May","Jun","Jul","Aug","Sep","Oct","Nov","Dec")</f>
        <v>Jan</v>
      </c>
      <c r="D386" s="2" t="str">
        <f t="shared" ref="D386:D449" si="43">IF(AND(MONTH(A386)&gt;=5,MONTH(A386)&lt;=9),"Peak","Off-Peak")</f>
        <v>Off-Peak</v>
      </c>
      <c r="E386" s="2" t="str">
        <f t="shared" ref="E386:E449" si="44">CHOOSE(WEEKDAY(A386,2),"Mon","Tue","Wed","Thu","Fri","Sat","Sun")</f>
        <v>Mon</v>
      </c>
      <c r="F386" s="8">
        <v>96</v>
      </c>
      <c r="G386" s="8">
        <v>125</v>
      </c>
      <c r="H386" s="9">
        <v>30285</v>
      </c>
      <c r="I386" s="10">
        <v>206</v>
      </c>
      <c r="J386" s="11">
        <f t="shared" ref="J386:J449" si="45">IF(G386=0,0,F386/G386)</f>
        <v>0.76800000000000002</v>
      </c>
      <c r="K386" s="10">
        <f t="shared" ref="K386:K449" si="46">IF(F386=0,0,H386/F386)</f>
        <v>315.46875</v>
      </c>
      <c r="L386" s="10">
        <f t="shared" ref="L386:L449" si="47">IF(G386=0,0,H386/G386)</f>
        <v>242.28</v>
      </c>
      <c r="M386" s="5">
        <f t="shared" ref="M386:M449" si="48">K386-I386</f>
        <v>109.46875</v>
      </c>
      <c r="N386" s="1"/>
    </row>
    <row r="387" spans="1:14" x14ac:dyDescent="0.35">
      <c r="A387" s="6">
        <v>45678</v>
      </c>
      <c r="B387" s="7" t="s">
        <v>56</v>
      </c>
      <c r="C387" s="2" t="str">
        <f t="shared" si="42"/>
        <v>Jan</v>
      </c>
      <c r="D387" s="2" t="str">
        <f t="shared" si="43"/>
        <v>Off-Peak</v>
      </c>
      <c r="E387" s="2" t="str">
        <f t="shared" si="44"/>
        <v>Tue</v>
      </c>
      <c r="F387" s="8">
        <v>92</v>
      </c>
      <c r="G387" s="8">
        <v>125</v>
      </c>
      <c r="H387" s="9">
        <v>18715</v>
      </c>
      <c r="I387" s="10">
        <v>176</v>
      </c>
      <c r="J387" s="11">
        <f t="shared" si="45"/>
        <v>0.73599999999999999</v>
      </c>
      <c r="K387" s="10">
        <f t="shared" si="46"/>
        <v>203.42391304347825</v>
      </c>
      <c r="L387" s="10">
        <f t="shared" si="47"/>
        <v>149.72</v>
      </c>
      <c r="M387" s="5">
        <f t="shared" si="48"/>
        <v>27.423913043478251</v>
      </c>
      <c r="N387" s="1"/>
    </row>
    <row r="388" spans="1:14" x14ac:dyDescent="0.35">
      <c r="A388" s="6">
        <v>45679</v>
      </c>
      <c r="B388" s="7" t="s">
        <v>56</v>
      </c>
      <c r="C388" s="2" t="str">
        <f t="shared" si="42"/>
        <v>Jan</v>
      </c>
      <c r="D388" s="2" t="str">
        <f t="shared" si="43"/>
        <v>Off-Peak</v>
      </c>
      <c r="E388" s="2" t="str">
        <f t="shared" si="44"/>
        <v>Wed</v>
      </c>
      <c r="F388" s="8">
        <v>106</v>
      </c>
      <c r="G388" s="8">
        <v>125</v>
      </c>
      <c r="H388" s="9">
        <v>18906</v>
      </c>
      <c r="I388" s="10">
        <v>158</v>
      </c>
      <c r="J388" s="11">
        <f t="shared" si="45"/>
        <v>0.84799999999999998</v>
      </c>
      <c r="K388" s="10">
        <f t="shared" si="46"/>
        <v>178.35849056603774</v>
      </c>
      <c r="L388" s="10">
        <f t="shared" si="47"/>
        <v>151.24799999999999</v>
      </c>
      <c r="M388" s="5">
        <f t="shared" si="48"/>
        <v>20.358490566037744</v>
      </c>
      <c r="N388" s="1"/>
    </row>
    <row r="389" spans="1:14" x14ac:dyDescent="0.35">
      <c r="A389" s="6">
        <v>45680</v>
      </c>
      <c r="B389" s="7" t="s">
        <v>56</v>
      </c>
      <c r="C389" s="2" t="str">
        <f t="shared" si="42"/>
        <v>Jan</v>
      </c>
      <c r="D389" s="2" t="str">
        <f t="shared" si="43"/>
        <v>Off-Peak</v>
      </c>
      <c r="E389" s="2" t="str">
        <f t="shared" si="44"/>
        <v>Thu</v>
      </c>
      <c r="F389" s="8">
        <v>115</v>
      </c>
      <c r="G389" s="8">
        <v>125</v>
      </c>
      <c r="H389" s="9">
        <v>29544</v>
      </c>
      <c r="I389" s="10">
        <v>247</v>
      </c>
      <c r="J389" s="11">
        <f t="shared" si="45"/>
        <v>0.92</v>
      </c>
      <c r="K389" s="10">
        <f t="shared" si="46"/>
        <v>256.90434782608696</v>
      </c>
      <c r="L389" s="10">
        <f t="shared" si="47"/>
        <v>236.352</v>
      </c>
      <c r="M389" s="5">
        <f t="shared" si="48"/>
        <v>9.904347826086962</v>
      </c>
      <c r="N389" s="1"/>
    </row>
    <row r="390" spans="1:14" x14ac:dyDescent="0.35">
      <c r="A390" s="6">
        <v>45681</v>
      </c>
      <c r="B390" s="7" t="s">
        <v>56</v>
      </c>
      <c r="C390" s="2" t="str">
        <f t="shared" si="42"/>
        <v>Jan</v>
      </c>
      <c r="D390" s="2" t="str">
        <f t="shared" si="43"/>
        <v>Off-Peak</v>
      </c>
      <c r="E390" s="2" t="str">
        <f t="shared" si="44"/>
        <v>Fri</v>
      </c>
      <c r="F390" s="8">
        <v>106</v>
      </c>
      <c r="G390" s="8">
        <v>125</v>
      </c>
      <c r="H390" s="9">
        <v>30396</v>
      </c>
      <c r="I390" s="10">
        <v>158</v>
      </c>
      <c r="J390" s="11">
        <f t="shared" si="45"/>
        <v>0.84799999999999998</v>
      </c>
      <c r="K390" s="10">
        <f t="shared" si="46"/>
        <v>286.75471698113205</v>
      </c>
      <c r="L390" s="10">
        <f t="shared" si="47"/>
        <v>243.16800000000001</v>
      </c>
      <c r="M390" s="5">
        <f t="shared" si="48"/>
        <v>128.75471698113205</v>
      </c>
      <c r="N390" s="1"/>
    </row>
    <row r="391" spans="1:14" x14ac:dyDescent="0.35">
      <c r="A391" s="6">
        <v>45682</v>
      </c>
      <c r="B391" s="7" t="s">
        <v>56</v>
      </c>
      <c r="C391" s="2" t="str">
        <f t="shared" si="42"/>
        <v>Jan</v>
      </c>
      <c r="D391" s="2" t="str">
        <f t="shared" si="43"/>
        <v>Off-Peak</v>
      </c>
      <c r="E391" s="2" t="str">
        <f t="shared" si="44"/>
        <v>Sat</v>
      </c>
      <c r="F391" s="8">
        <v>106</v>
      </c>
      <c r="G391" s="8">
        <v>125</v>
      </c>
      <c r="H391" s="9">
        <v>16553</v>
      </c>
      <c r="I391" s="10">
        <v>168</v>
      </c>
      <c r="J391" s="11">
        <f t="shared" si="45"/>
        <v>0.84799999999999998</v>
      </c>
      <c r="K391" s="10">
        <f t="shared" si="46"/>
        <v>156.16037735849056</v>
      </c>
      <c r="L391" s="10">
        <f t="shared" si="47"/>
        <v>132.42400000000001</v>
      </c>
      <c r="M391" s="5">
        <f t="shared" si="48"/>
        <v>-11.839622641509436</v>
      </c>
      <c r="N391" s="1"/>
    </row>
    <row r="392" spans="1:14" x14ac:dyDescent="0.35">
      <c r="A392" s="6">
        <v>45683</v>
      </c>
      <c r="B392" s="7" t="s">
        <v>56</v>
      </c>
      <c r="C392" s="2" t="str">
        <f t="shared" si="42"/>
        <v>Jan</v>
      </c>
      <c r="D392" s="2" t="str">
        <f t="shared" si="43"/>
        <v>Off-Peak</v>
      </c>
      <c r="E392" s="2" t="str">
        <f t="shared" si="44"/>
        <v>Sun</v>
      </c>
      <c r="F392" s="8">
        <v>94</v>
      </c>
      <c r="G392" s="8">
        <v>125</v>
      </c>
      <c r="H392" s="9">
        <v>34323</v>
      </c>
      <c r="I392" s="10">
        <v>123</v>
      </c>
      <c r="J392" s="11">
        <f t="shared" si="45"/>
        <v>0.752</v>
      </c>
      <c r="K392" s="10">
        <f t="shared" si="46"/>
        <v>365.13829787234044</v>
      </c>
      <c r="L392" s="10">
        <f t="shared" si="47"/>
        <v>274.584</v>
      </c>
      <c r="M392" s="5">
        <f t="shared" si="48"/>
        <v>242.13829787234044</v>
      </c>
      <c r="N392" s="1"/>
    </row>
    <row r="393" spans="1:14" x14ac:dyDescent="0.35">
      <c r="A393" s="6">
        <v>45684</v>
      </c>
      <c r="B393" s="7" t="s">
        <v>56</v>
      </c>
      <c r="C393" s="2" t="str">
        <f t="shared" si="42"/>
        <v>Jan</v>
      </c>
      <c r="D393" s="2" t="str">
        <f t="shared" si="43"/>
        <v>Off-Peak</v>
      </c>
      <c r="E393" s="2" t="str">
        <f t="shared" si="44"/>
        <v>Mon</v>
      </c>
      <c r="F393" s="8">
        <v>105</v>
      </c>
      <c r="G393" s="8">
        <v>125</v>
      </c>
      <c r="H393" s="9">
        <v>28570</v>
      </c>
      <c r="I393" s="10">
        <v>129</v>
      </c>
      <c r="J393" s="11">
        <f t="shared" si="45"/>
        <v>0.84</v>
      </c>
      <c r="K393" s="10">
        <f t="shared" si="46"/>
        <v>272.09523809523807</v>
      </c>
      <c r="L393" s="10">
        <f t="shared" si="47"/>
        <v>228.56</v>
      </c>
      <c r="M393" s="5">
        <f t="shared" si="48"/>
        <v>143.09523809523807</v>
      </c>
      <c r="N393" s="1"/>
    </row>
    <row r="394" spans="1:14" x14ac:dyDescent="0.35">
      <c r="A394" s="6">
        <v>45685</v>
      </c>
      <c r="B394" s="7" t="s">
        <v>56</v>
      </c>
      <c r="C394" s="2" t="str">
        <f t="shared" si="42"/>
        <v>Jan</v>
      </c>
      <c r="D394" s="2" t="str">
        <f t="shared" si="43"/>
        <v>Off-Peak</v>
      </c>
      <c r="E394" s="2" t="str">
        <f t="shared" si="44"/>
        <v>Tue</v>
      </c>
      <c r="F394" s="8">
        <v>113</v>
      </c>
      <c r="G394" s="8">
        <v>125</v>
      </c>
      <c r="H394" s="9">
        <v>33767</v>
      </c>
      <c r="I394" s="10">
        <v>203</v>
      </c>
      <c r="J394" s="11">
        <f t="shared" si="45"/>
        <v>0.90400000000000003</v>
      </c>
      <c r="K394" s="10">
        <f t="shared" si="46"/>
        <v>298.82300884955754</v>
      </c>
      <c r="L394" s="10">
        <f t="shared" si="47"/>
        <v>270.13600000000002</v>
      </c>
      <c r="M394" s="5">
        <f t="shared" si="48"/>
        <v>95.823008849557539</v>
      </c>
      <c r="N394" s="1"/>
    </row>
    <row r="395" spans="1:14" x14ac:dyDescent="0.35">
      <c r="A395" s="6">
        <v>45686</v>
      </c>
      <c r="B395" s="7" t="s">
        <v>56</v>
      </c>
      <c r="C395" s="2" t="str">
        <f t="shared" si="42"/>
        <v>Jan</v>
      </c>
      <c r="D395" s="2" t="str">
        <f t="shared" si="43"/>
        <v>Off-Peak</v>
      </c>
      <c r="E395" s="2" t="str">
        <f t="shared" si="44"/>
        <v>Wed</v>
      </c>
      <c r="F395" s="8">
        <v>104</v>
      </c>
      <c r="G395" s="8">
        <v>125</v>
      </c>
      <c r="H395" s="9">
        <v>29364</v>
      </c>
      <c r="I395" s="10">
        <v>193</v>
      </c>
      <c r="J395" s="11">
        <f t="shared" si="45"/>
        <v>0.83199999999999996</v>
      </c>
      <c r="K395" s="10">
        <f t="shared" si="46"/>
        <v>282.34615384615387</v>
      </c>
      <c r="L395" s="10">
        <f t="shared" si="47"/>
        <v>234.91200000000001</v>
      </c>
      <c r="M395" s="5">
        <f t="shared" si="48"/>
        <v>89.346153846153868</v>
      </c>
      <c r="N395" s="1"/>
    </row>
    <row r="396" spans="1:14" x14ac:dyDescent="0.35">
      <c r="A396" s="6">
        <v>45687</v>
      </c>
      <c r="B396" s="7" t="s">
        <v>56</v>
      </c>
      <c r="C396" s="2" t="str">
        <f t="shared" si="42"/>
        <v>Jan</v>
      </c>
      <c r="D396" s="2" t="str">
        <f t="shared" si="43"/>
        <v>Off-Peak</v>
      </c>
      <c r="E396" s="2" t="str">
        <f t="shared" si="44"/>
        <v>Thu</v>
      </c>
      <c r="F396" s="8">
        <v>106</v>
      </c>
      <c r="G396" s="8">
        <v>125</v>
      </c>
      <c r="H396" s="9">
        <v>19062</v>
      </c>
      <c r="I396" s="10">
        <v>208</v>
      </c>
      <c r="J396" s="11">
        <f t="shared" si="45"/>
        <v>0.84799999999999998</v>
      </c>
      <c r="K396" s="10">
        <f t="shared" si="46"/>
        <v>179.83018867924528</v>
      </c>
      <c r="L396" s="10">
        <f t="shared" si="47"/>
        <v>152.49600000000001</v>
      </c>
      <c r="M396" s="5">
        <f t="shared" si="48"/>
        <v>-28.169811320754718</v>
      </c>
      <c r="N396" s="1"/>
    </row>
    <row r="397" spans="1:14" x14ac:dyDescent="0.35">
      <c r="A397" s="6">
        <v>45688</v>
      </c>
      <c r="B397" s="7" t="s">
        <v>56</v>
      </c>
      <c r="C397" s="2" t="str">
        <f t="shared" si="42"/>
        <v>Jan</v>
      </c>
      <c r="D397" s="2" t="str">
        <f t="shared" si="43"/>
        <v>Off-Peak</v>
      </c>
      <c r="E397" s="2" t="str">
        <f t="shared" si="44"/>
        <v>Fri</v>
      </c>
      <c r="F397" s="8">
        <v>111</v>
      </c>
      <c r="G397" s="8">
        <v>125</v>
      </c>
      <c r="H397" s="9">
        <v>31887</v>
      </c>
      <c r="I397" s="10">
        <v>205</v>
      </c>
      <c r="J397" s="11">
        <f t="shared" si="45"/>
        <v>0.88800000000000001</v>
      </c>
      <c r="K397" s="10">
        <f t="shared" si="46"/>
        <v>287.27027027027026</v>
      </c>
      <c r="L397" s="10">
        <f t="shared" si="47"/>
        <v>255.096</v>
      </c>
      <c r="M397" s="5">
        <f t="shared" si="48"/>
        <v>82.27027027027026</v>
      </c>
      <c r="N397" s="1"/>
    </row>
    <row r="398" spans="1:14" x14ac:dyDescent="0.35">
      <c r="A398" s="6">
        <v>45689</v>
      </c>
      <c r="B398" s="7" t="s">
        <v>56</v>
      </c>
      <c r="C398" s="2" t="str">
        <f t="shared" si="42"/>
        <v>Feb</v>
      </c>
      <c r="D398" s="2" t="str">
        <f t="shared" si="43"/>
        <v>Off-Peak</v>
      </c>
      <c r="E398" s="2" t="str">
        <f t="shared" si="44"/>
        <v>Sat</v>
      </c>
      <c r="F398" s="8">
        <v>86</v>
      </c>
      <c r="G398" s="8">
        <v>125</v>
      </c>
      <c r="H398" s="9">
        <v>18347</v>
      </c>
      <c r="I398" s="10">
        <v>198</v>
      </c>
      <c r="J398" s="11">
        <f t="shared" si="45"/>
        <v>0.68799999999999994</v>
      </c>
      <c r="K398" s="10">
        <f t="shared" si="46"/>
        <v>213.33720930232559</v>
      </c>
      <c r="L398" s="10">
        <f t="shared" si="47"/>
        <v>146.77600000000001</v>
      </c>
      <c r="M398" s="5">
        <f t="shared" si="48"/>
        <v>15.33720930232559</v>
      </c>
      <c r="N398" s="1" t="s">
        <v>14</v>
      </c>
    </row>
    <row r="399" spans="1:14" x14ac:dyDescent="0.35">
      <c r="A399" s="6">
        <v>45690</v>
      </c>
      <c r="B399" s="7" t="s">
        <v>56</v>
      </c>
      <c r="C399" s="2" t="str">
        <f t="shared" si="42"/>
        <v>Feb</v>
      </c>
      <c r="D399" s="2" t="str">
        <f t="shared" si="43"/>
        <v>Off-Peak</v>
      </c>
      <c r="E399" s="2" t="str">
        <f t="shared" si="44"/>
        <v>Sun</v>
      </c>
      <c r="F399" s="8">
        <v>107</v>
      </c>
      <c r="G399" s="8">
        <v>125</v>
      </c>
      <c r="H399" s="9">
        <v>18685</v>
      </c>
      <c r="I399" s="10">
        <v>122</v>
      </c>
      <c r="J399" s="11">
        <f t="shared" si="45"/>
        <v>0.85599999999999998</v>
      </c>
      <c r="K399" s="10">
        <f t="shared" si="46"/>
        <v>174.62616822429908</v>
      </c>
      <c r="L399" s="10">
        <f t="shared" si="47"/>
        <v>149.47999999999999</v>
      </c>
      <c r="M399" s="5">
        <f t="shared" si="48"/>
        <v>52.626168224299079</v>
      </c>
      <c r="N399" s="1"/>
    </row>
    <row r="400" spans="1:14" x14ac:dyDescent="0.35">
      <c r="A400" s="6">
        <v>45691</v>
      </c>
      <c r="B400" s="7" t="s">
        <v>56</v>
      </c>
      <c r="C400" s="2" t="str">
        <f t="shared" si="42"/>
        <v>Feb</v>
      </c>
      <c r="D400" s="2" t="str">
        <f t="shared" si="43"/>
        <v>Off-Peak</v>
      </c>
      <c r="E400" s="2" t="str">
        <f t="shared" si="44"/>
        <v>Mon</v>
      </c>
      <c r="F400" s="8">
        <v>116</v>
      </c>
      <c r="G400" s="8">
        <v>125</v>
      </c>
      <c r="H400" s="9">
        <v>20728</v>
      </c>
      <c r="I400" s="10">
        <v>125</v>
      </c>
      <c r="J400" s="11">
        <f t="shared" si="45"/>
        <v>0.92800000000000005</v>
      </c>
      <c r="K400" s="10">
        <f t="shared" si="46"/>
        <v>178.68965517241378</v>
      </c>
      <c r="L400" s="10">
        <f t="shared" si="47"/>
        <v>165.82400000000001</v>
      </c>
      <c r="M400" s="5">
        <f t="shared" si="48"/>
        <v>53.689655172413779</v>
      </c>
      <c r="N400" s="1"/>
    </row>
    <row r="401" spans="1:14" x14ac:dyDescent="0.35">
      <c r="A401" s="6">
        <v>45692</v>
      </c>
      <c r="B401" s="7" t="s">
        <v>56</v>
      </c>
      <c r="C401" s="2" t="str">
        <f t="shared" si="42"/>
        <v>Feb</v>
      </c>
      <c r="D401" s="2" t="str">
        <f t="shared" si="43"/>
        <v>Off-Peak</v>
      </c>
      <c r="E401" s="2" t="str">
        <f t="shared" si="44"/>
        <v>Tue</v>
      </c>
      <c r="F401" s="8">
        <v>91</v>
      </c>
      <c r="G401" s="8">
        <v>125</v>
      </c>
      <c r="H401" s="9">
        <v>17987</v>
      </c>
      <c r="I401" s="10">
        <v>193</v>
      </c>
      <c r="J401" s="11">
        <f t="shared" si="45"/>
        <v>0.72799999999999998</v>
      </c>
      <c r="K401" s="10">
        <f t="shared" si="46"/>
        <v>197.65934065934067</v>
      </c>
      <c r="L401" s="10">
        <f t="shared" si="47"/>
        <v>143.89599999999999</v>
      </c>
      <c r="M401" s="5">
        <f t="shared" si="48"/>
        <v>4.6593406593406712</v>
      </c>
      <c r="N401" s="1"/>
    </row>
    <row r="402" spans="1:14" x14ac:dyDescent="0.35">
      <c r="A402" s="6">
        <v>45693</v>
      </c>
      <c r="B402" s="7" t="s">
        <v>56</v>
      </c>
      <c r="C402" s="2" t="str">
        <f t="shared" si="42"/>
        <v>Feb</v>
      </c>
      <c r="D402" s="2" t="str">
        <f t="shared" si="43"/>
        <v>Off-Peak</v>
      </c>
      <c r="E402" s="2" t="str">
        <f t="shared" si="44"/>
        <v>Wed</v>
      </c>
      <c r="F402" s="8">
        <v>108</v>
      </c>
      <c r="G402" s="8">
        <v>125</v>
      </c>
      <c r="H402" s="9">
        <v>14068</v>
      </c>
      <c r="I402" s="10">
        <v>153</v>
      </c>
      <c r="J402" s="11">
        <f t="shared" si="45"/>
        <v>0.86399999999999999</v>
      </c>
      <c r="K402" s="10">
        <f t="shared" si="46"/>
        <v>130.25925925925927</v>
      </c>
      <c r="L402" s="10">
        <f t="shared" si="47"/>
        <v>112.544</v>
      </c>
      <c r="M402" s="5">
        <f t="shared" si="48"/>
        <v>-22.740740740740733</v>
      </c>
      <c r="N402" s="1"/>
    </row>
    <row r="403" spans="1:14" x14ac:dyDescent="0.35">
      <c r="A403" s="6">
        <v>45694</v>
      </c>
      <c r="B403" s="7" t="s">
        <v>56</v>
      </c>
      <c r="C403" s="2" t="str">
        <f t="shared" si="42"/>
        <v>Feb</v>
      </c>
      <c r="D403" s="2" t="str">
        <f t="shared" si="43"/>
        <v>Off-Peak</v>
      </c>
      <c r="E403" s="2" t="str">
        <f t="shared" si="44"/>
        <v>Thu</v>
      </c>
      <c r="F403" s="8">
        <v>116</v>
      </c>
      <c r="G403" s="8">
        <v>125</v>
      </c>
      <c r="H403" s="9">
        <v>18159</v>
      </c>
      <c r="I403" s="10">
        <v>141</v>
      </c>
      <c r="J403" s="11">
        <f t="shared" si="45"/>
        <v>0.92800000000000005</v>
      </c>
      <c r="K403" s="10">
        <f t="shared" si="46"/>
        <v>156.54310344827587</v>
      </c>
      <c r="L403" s="10">
        <f t="shared" si="47"/>
        <v>145.27199999999999</v>
      </c>
      <c r="M403" s="5">
        <f t="shared" si="48"/>
        <v>15.543103448275872</v>
      </c>
      <c r="N403" s="1"/>
    </row>
    <row r="404" spans="1:14" x14ac:dyDescent="0.35">
      <c r="A404" s="6">
        <v>45695</v>
      </c>
      <c r="B404" s="7" t="s">
        <v>56</v>
      </c>
      <c r="C404" s="2" t="str">
        <f t="shared" si="42"/>
        <v>Feb</v>
      </c>
      <c r="D404" s="2" t="str">
        <f t="shared" si="43"/>
        <v>Off-Peak</v>
      </c>
      <c r="E404" s="2" t="str">
        <f t="shared" si="44"/>
        <v>Fri</v>
      </c>
      <c r="F404" s="8">
        <v>119</v>
      </c>
      <c r="G404" s="8">
        <v>125</v>
      </c>
      <c r="H404" s="9">
        <v>23039</v>
      </c>
      <c r="I404" s="10">
        <v>248</v>
      </c>
      <c r="J404" s="11">
        <f t="shared" si="45"/>
        <v>0.95199999999999996</v>
      </c>
      <c r="K404" s="10">
        <f t="shared" si="46"/>
        <v>193.60504201680672</v>
      </c>
      <c r="L404" s="10">
        <f t="shared" si="47"/>
        <v>184.31200000000001</v>
      </c>
      <c r="M404" s="5">
        <f t="shared" si="48"/>
        <v>-54.394957983193279</v>
      </c>
      <c r="N404" s="1"/>
    </row>
    <row r="405" spans="1:14" x14ac:dyDescent="0.35">
      <c r="A405" s="6">
        <v>45696</v>
      </c>
      <c r="B405" s="7" t="s">
        <v>56</v>
      </c>
      <c r="C405" s="2" t="str">
        <f t="shared" si="42"/>
        <v>Feb</v>
      </c>
      <c r="D405" s="2" t="str">
        <f t="shared" si="43"/>
        <v>Off-Peak</v>
      </c>
      <c r="E405" s="2" t="str">
        <f t="shared" si="44"/>
        <v>Sat</v>
      </c>
      <c r="F405" s="8">
        <v>101</v>
      </c>
      <c r="G405" s="8">
        <v>125</v>
      </c>
      <c r="H405" s="9">
        <v>21286</v>
      </c>
      <c r="I405" s="10">
        <v>192</v>
      </c>
      <c r="J405" s="11">
        <f t="shared" si="45"/>
        <v>0.80800000000000005</v>
      </c>
      <c r="K405" s="10">
        <f t="shared" si="46"/>
        <v>210.75247524752476</v>
      </c>
      <c r="L405" s="10">
        <f t="shared" si="47"/>
        <v>170.28800000000001</v>
      </c>
      <c r="M405" s="5">
        <f t="shared" si="48"/>
        <v>18.752475247524757</v>
      </c>
      <c r="N405" s="1"/>
    </row>
    <row r="406" spans="1:14" x14ac:dyDescent="0.35">
      <c r="A406" s="6">
        <v>45697</v>
      </c>
      <c r="B406" s="7" t="s">
        <v>56</v>
      </c>
      <c r="C406" s="2" t="str">
        <f t="shared" si="42"/>
        <v>Feb</v>
      </c>
      <c r="D406" s="2" t="str">
        <f t="shared" si="43"/>
        <v>Off-Peak</v>
      </c>
      <c r="E406" s="2" t="str">
        <f t="shared" si="44"/>
        <v>Sun</v>
      </c>
      <c r="F406" s="8">
        <v>100</v>
      </c>
      <c r="G406" s="8">
        <v>125</v>
      </c>
      <c r="H406" s="9">
        <v>34235</v>
      </c>
      <c r="I406" s="10">
        <v>142</v>
      </c>
      <c r="J406" s="11">
        <f t="shared" si="45"/>
        <v>0.8</v>
      </c>
      <c r="K406" s="10">
        <f t="shared" si="46"/>
        <v>342.35</v>
      </c>
      <c r="L406" s="10">
        <f t="shared" si="47"/>
        <v>273.88</v>
      </c>
      <c r="M406" s="5">
        <f t="shared" si="48"/>
        <v>200.35000000000002</v>
      </c>
      <c r="N406" s="1"/>
    </row>
    <row r="407" spans="1:14" x14ac:dyDescent="0.35">
      <c r="A407" s="6">
        <v>45698</v>
      </c>
      <c r="B407" s="7" t="s">
        <v>56</v>
      </c>
      <c r="C407" s="2" t="str">
        <f t="shared" si="42"/>
        <v>Feb</v>
      </c>
      <c r="D407" s="2" t="str">
        <f t="shared" si="43"/>
        <v>Off-Peak</v>
      </c>
      <c r="E407" s="2" t="str">
        <f t="shared" si="44"/>
        <v>Mon</v>
      </c>
      <c r="F407" s="8">
        <v>114</v>
      </c>
      <c r="G407" s="8">
        <v>125</v>
      </c>
      <c r="H407" s="9">
        <v>15618</v>
      </c>
      <c r="I407" s="10">
        <v>207</v>
      </c>
      <c r="J407" s="11">
        <f t="shared" si="45"/>
        <v>0.91200000000000003</v>
      </c>
      <c r="K407" s="10">
        <f t="shared" si="46"/>
        <v>137</v>
      </c>
      <c r="L407" s="10">
        <f t="shared" si="47"/>
        <v>124.944</v>
      </c>
      <c r="M407" s="5">
        <f t="shared" si="48"/>
        <v>-70</v>
      </c>
      <c r="N407" s="1"/>
    </row>
    <row r="408" spans="1:14" x14ac:dyDescent="0.35">
      <c r="A408" s="6">
        <v>45699</v>
      </c>
      <c r="B408" s="7" t="s">
        <v>56</v>
      </c>
      <c r="C408" s="2" t="str">
        <f t="shared" si="42"/>
        <v>Feb</v>
      </c>
      <c r="D408" s="2" t="str">
        <f t="shared" si="43"/>
        <v>Off-Peak</v>
      </c>
      <c r="E408" s="2" t="str">
        <f t="shared" si="44"/>
        <v>Tue</v>
      </c>
      <c r="F408" s="8">
        <v>91</v>
      </c>
      <c r="G408" s="8">
        <v>125</v>
      </c>
      <c r="H408" s="9">
        <v>22700</v>
      </c>
      <c r="I408" s="10">
        <v>136</v>
      </c>
      <c r="J408" s="11">
        <f t="shared" si="45"/>
        <v>0.72799999999999998</v>
      </c>
      <c r="K408" s="10">
        <f t="shared" si="46"/>
        <v>249.45054945054946</v>
      </c>
      <c r="L408" s="10">
        <f t="shared" si="47"/>
        <v>181.6</v>
      </c>
      <c r="M408" s="5">
        <f t="shared" si="48"/>
        <v>113.45054945054946</v>
      </c>
      <c r="N408" s="1"/>
    </row>
    <row r="409" spans="1:14" x14ac:dyDescent="0.35">
      <c r="A409" s="6">
        <v>45700</v>
      </c>
      <c r="B409" s="7" t="s">
        <v>56</v>
      </c>
      <c r="C409" s="2" t="str">
        <f t="shared" si="42"/>
        <v>Feb</v>
      </c>
      <c r="D409" s="2" t="str">
        <f t="shared" si="43"/>
        <v>Off-Peak</v>
      </c>
      <c r="E409" s="2" t="str">
        <f t="shared" si="44"/>
        <v>Wed</v>
      </c>
      <c r="F409" s="8">
        <v>104</v>
      </c>
      <c r="G409" s="8">
        <v>125</v>
      </c>
      <c r="H409" s="9">
        <v>34639</v>
      </c>
      <c r="I409" s="10">
        <v>231</v>
      </c>
      <c r="J409" s="11">
        <f t="shared" si="45"/>
        <v>0.83199999999999996</v>
      </c>
      <c r="K409" s="10">
        <f t="shared" si="46"/>
        <v>333.06730769230768</v>
      </c>
      <c r="L409" s="10">
        <f t="shared" si="47"/>
        <v>277.11200000000002</v>
      </c>
      <c r="M409" s="5">
        <f t="shared" si="48"/>
        <v>102.06730769230768</v>
      </c>
      <c r="N409" s="1"/>
    </row>
    <row r="410" spans="1:14" x14ac:dyDescent="0.35">
      <c r="A410" s="6">
        <v>45701</v>
      </c>
      <c r="B410" s="7" t="s">
        <v>56</v>
      </c>
      <c r="C410" s="2" t="str">
        <f t="shared" si="42"/>
        <v>Feb</v>
      </c>
      <c r="D410" s="2" t="str">
        <f t="shared" si="43"/>
        <v>Off-Peak</v>
      </c>
      <c r="E410" s="2" t="str">
        <f t="shared" si="44"/>
        <v>Thu</v>
      </c>
      <c r="F410" s="8">
        <v>115</v>
      </c>
      <c r="G410" s="8">
        <v>125</v>
      </c>
      <c r="H410" s="9">
        <v>25257</v>
      </c>
      <c r="I410" s="10">
        <v>168</v>
      </c>
      <c r="J410" s="11">
        <f t="shared" si="45"/>
        <v>0.92</v>
      </c>
      <c r="K410" s="10">
        <f t="shared" si="46"/>
        <v>219.62608695652173</v>
      </c>
      <c r="L410" s="10">
        <f t="shared" si="47"/>
        <v>202.05600000000001</v>
      </c>
      <c r="M410" s="5">
        <f t="shared" si="48"/>
        <v>51.626086956521732</v>
      </c>
      <c r="N410" s="1"/>
    </row>
    <row r="411" spans="1:14" x14ac:dyDescent="0.35">
      <c r="A411" s="6">
        <v>45702</v>
      </c>
      <c r="B411" s="7" t="s">
        <v>56</v>
      </c>
      <c r="C411" s="2" t="str">
        <f t="shared" si="42"/>
        <v>Feb</v>
      </c>
      <c r="D411" s="2" t="str">
        <f t="shared" si="43"/>
        <v>Off-Peak</v>
      </c>
      <c r="E411" s="2" t="str">
        <f t="shared" si="44"/>
        <v>Fri</v>
      </c>
      <c r="F411" s="8">
        <v>108</v>
      </c>
      <c r="G411" s="8">
        <v>125</v>
      </c>
      <c r="H411" s="9">
        <v>14726</v>
      </c>
      <c r="I411" s="10">
        <v>137</v>
      </c>
      <c r="J411" s="11">
        <f t="shared" si="45"/>
        <v>0.86399999999999999</v>
      </c>
      <c r="K411" s="10">
        <f t="shared" si="46"/>
        <v>136.35185185185185</v>
      </c>
      <c r="L411" s="10">
        <f t="shared" si="47"/>
        <v>117.80800000000001</v>
      </c>
      <c r="M411" s="5">
        <f t="shared" si="48"/>
        <v>-0.64814814814815236</v>
      </c>
      <c r="N411" s="1"/>
    </row>
    <row r="412" spans="1:14" x14ac:dyDescent="0.35">
      <c r="A412" s="6">
        <v>45703</v>
      </c>
      <c r="B412" s="7" t="s">
        <v>56</v>
      </c>
      <c r="C412" s="2" t="str">
        <f t="shared" si="42"/>
        <v>Feb</v>
      </c>
      <c r="D412" s="2" t="str">
        <f t="shared" si="43"/>
        <v>Off-Peak</v>
      </c>
      <c r="E412" s="2" t="str">
        <f t="shared" si="44"/>
        <v>Sat</v>
      </c>
      <c r="F412" s="8">
        <v>87</v>
      </c>
      <c r="G412" s="8">
        <v>125</v>
      </c>
      <c r="H412" s="9">
        <v>20729</v>
      </c>
      <c r="I412" s="10">
        <v>227</v>
      </c>
      <c r="J412" s="11">
        <f t="shared" si="45"/>
        <v>0.69599999999999995</v>
      </c>
      <c r="K412" s="10">
        <f t="shared" si="46"/>
        <v>238.26436781609195</v>
      </c>
      <c r="L412" s="10">
        <f t="shared" si="47"/>
        <v>165.83199999999999</v>
      </c>
      <c r="M412" s="5">
        <f t="shared" si="48"/>
        <v>11.264367816091948</v>
      </c>
      <c r="N412" s="1"/>
    </row>
    <row r="413" spans="1:14" x14ac:dyDescent="0.35">
      <c r="A413" s="6">
        <v>45704</v>
      </c>
      <c r="B413" s="7" t="s">
        <v>56</v>
      </c>
      <c r="C413" s="2" t="str">
        <f t="shared" si="42"/>
        <v>Feb</v>
      </c>
      <c r="D413" s="2" t="str">
        <f t="shared" si="43"/>
        <v>Off-Peak</v>
      </c>
      <c r="E413" s="2" t="str">
        <f t="shared" si="44"/>
        <v>Sun</v>
      </c>
      <c r="F413" s="8">
        <v>92</v>
      </c>
      <c r="G413" s="8">
        <v>125</v>
      </c>
      <c r="H413" s="9">
        <v>34696</v>
      </c>
      <c r="I413" s="10">
        <v>138</v>
      </c>
      <c r="J413" s="11">
        <f t="shared" si="45"/>
        <v>0.73599999999999999</v>
      </c>
      <c r="K413" s="10">
        <f t="shared" si="46"/>
        <v>377.13043478260869</v>
      </c>
      <c r="L413" s="10">
        <f t="shared" si="47"/>
        <v>277.56799999999998</v>
      </c>
      <c r="M413" s="5">
        <f t="shared" si="48"/>
        <v>239.13043478260869</v>
      </c>
      <c r="N413" s="1"/>
    </row>
    <row r="414" spans="1:14" x14ac:dyDescent="0.35">
      <c r="A414" s="6">
        <v>45705</v>
      </c>
      <c r="B414" s="7" t="s">
        <v>56</v>
      </c>
      <c r="C414" s="2" t="str">
        <f t="shared" si="42"/>
        <v>Feb</v>
      </c>
      <c r="D414" s="2" t="str">
        <f t="shared" si="43"/>
        <v>Off-Peak</v>
      </c>
      <c r="E414" s="2" t="str">
        <f t="shared" si="44"/>
        <v>Mon</v>
      </c>
      <c r="F414" s="8">
        <v>116</v>
      </c>
      <c r="G414" s="8">
        <v>125</v>
      </c>
      <c r="H414" s="9">
        <v>33014</v>
      </c>
      <c r="I414" s="10">
        <v>235</v>
      </c>
      <c r="J414" s="11">
        <f t="shared" si="45"/>
        <v>0.92800000000000005</v>
      </c>
      <c r="K414" s="10">
        <f t="shared" si="46"/>
        <v>284.60344827586209</v>
      </c>
      <c r="L414" s="10">
        <f t="shared" si="47"/>
        <v>264.11200000000002</v>
      </c>
      <c r="M414" s="5">
        <f t="shared" si="48"/>
        <v>49.603448275862092</v>
      </c>
      <c r="N414" s="1"/>
    </row>
    <row r="415" spans="1:14" x14ac:dyDescent="0.35">
      <c r="A415" s="6">
        <v>45706</v>
      </c>
      <c r="B415" s="7" t="s">
        <v>56</v>
      </c>
      <c r="C415" s="2" t="str">
        <f t="shared" si="42"/>
        <v>Feb</v>
      </c>
      <c r="D415" s="2" t="str">
        <f t="shared" si="43"/>
        <v>Off-Peak</v>
      </c>
      <c r="E415" s="2" t="str">
        <f t="shared" si="44"/>
        <v>Tue</v>
      </c>
      <c r="F415" s="8">
        <v>88</v>
      </c>
      <c r="G415" s="8">
        <v>125</v>
      </c>
      <c r="H415" s="9">
        <v>19340</v>
      </c>
      <c r="I415" s="10">
        <v>169</v>
      </c>
      <c r="J415" s="11">
        <f t="shared" si="45"/>
        <v>0.70399999999999996</v>
      </c>
      <c r="K415" s="10">
        <f t="shared" si="46"/>
        <v>219.77272727272728</v>
      </c>
      <c r="L415" s="10">
        <f t="shared" si="47"/>
        <v>154.72</v>
      </c>
      <c r="M415" s="5">
        <f t="shared" si="48"/>
        <v>50.77272727272728</v>
      </c>
      <c r="N415" s="1"/>
    </row>
    <row r="416" spans="1:14" x14ac:dyDescent="0.35">
      <c r="A416" s="6">
        <v>45707</v>
      </c>
      <c r="B416" s="7" t="s">
        <v>56</v>
      </c>
      <c r="C416" s="2" t="str">
        <f t="shared" si="42"/>
        <v>Feb</v>
      </c>
      <c r="D416" s="2" t="str">
        <f t="shared" si="43"/>
        <v>Off-Peak</v>
      </c>
      <c r="E416" s="2" t="str">
        <f t="shared" si="44"/>
        <v>Wed</v>
      </c>
      <c r="F416" s="8">
        <v>103</v>
      </c>
      <c r="G416" s="8">
        <v>125</v>
      </c>
      <c r="H416" s="9">
        <v>13418</v>
      </c>
      <c r="I416" s="10">
        <v>136</v>
      </c>
      <c r="J416" s="11">
        <f t="shared" si="45"/>
        <v>0.82399999999999995</v>
      </c>
      <c r="K416" s="10">
        <f t="shared" si="46"/>
        <v>130.27184466019418</v>
      </c>
      <c r="L416" s="10">
        <f t="shared" si="47"/>
        <v>107.34399999999999</v>
      </c>
      <c r="M416" s="5">
        <f t="shared" si="48"/>
        <v>-5.7281553398058236</v>
      </c>
      <c r="N416" s="1"/>
    </row>
    <row r="417" spans="1:14" x14ac:dyDescent="0.35">
      <c r="A417" s="6">
        <v>45708</v>
      </c>
      <c r="B417" s="7" t="s">
        <v>56</v>
      </c>
      <c r="C417" s="2" t="str">
        <f t="shared" si="42"/>
        <v>Feb</v>
      </c>
      <c r="D417" s="2" t="str">
        <f t="shared" si="43"/>
        <v>Off-Peak</v>
      </c>
      <c r="E417" s="2" t="str">
        <f t="shared" si="44"/>
        <v>Thu</v>
      </c>
      <c r="F417" s="8">
        <v>116</v>
      </c>
      <c r="G417" s="8">
        <v>125</v>
      </c>
      <c r="H417" s="9">
        <v>12869</v>
      </c>
      <c r="I417" s="10">
        <v>207</v>
      </c>
      <c r="J417" s="11">
        <f t="shared" si="45"/>
        <v>0.92800000000000005</v>
      </c>
      <c r="K417" s="10">
        <f t="shared" si="46"/>
        <v>110.93965517241379</v>
      </c>
      <c r="L417" s="10">
        <f t="shared" si="47"/>
        <v>102.952</v>
      </c>
      <c r="M417" s="5">
        <f t="shared" si="48"/>
        <v>-96.060344827586206</v>
      </c>
      <c r="N417" s="1"/>
    </row>
    <row r="418" spans="1:14" x14ac:dyDescent="0.35">
      <c r="A418" s="6">
        <v>45709</v>
      </c>
      <c r="B418" s="7" t="s">
        <v>56</v>
      </c>
      <c r="C418" s="2" t="str">
        <f t="shared" si="42"/>
        <v>Feb</v>
      </c>
      <c r="D418" s="2" t="str">
        <f t="shared" si="43"/>
        <v>Off-Peak</v>
      </c>
      <c r="E418" s="2" t="str">
        <f t="shared" si="44"/>
        <v>Fri</v>
      </c>
      <c r="F418" s="8">
        <v>108</v>
      </c>
      <c r="G418" s="8">
        <v>125</v>
      </c>
      <c r="H418" s="9">
        <v>27832</v>
      </c>
      <c r="I418" s="10">
        <v>155</v>
      </c>
      <c r="J418" s="11">
        <f t="shared" si="45"/>
        <v>0.86399999999999999</v>
      </c>
      <c r="K418" s="10">
        <f t="shared" si="46"/>
        <v>257.7037037037037</v>
      </c>
      <c r="L418" s="10">
        <f t="shared" si="47"/>
        <v>222.65600000000001</v>
      </c>
      <c r="M418" s="5">
        <f t="shared" si="48"/>
        <v>102.7037037037037</v>
      </c>
      <c r="N418" s="1"/>
    </row>
    <row r="419" spans="1:14" x14ac:dyDescent="0.35">
      <c r="A419" s="6">
        <v>45710</v>
      </c>
      <c r="B419" s="7" t="s">
        <v>56</v>
      </c>
      <c r="C419" s="2" t="str">
        <f t="shared" si="42"/>
        <v>Feb</v>
      </c>
      <c r="D419" s="2" t="str">
        <f t="shared" si="43"/>
        <v>Off-Peak</v>
      </c>
      <c r="E419" s="2" t="str">
        <f t="shared" si="44"/>
        <v>Sat</v>
      </c>
      <c r="F419" s="8">
        <v>106</v>
      </c>
      <c r="G419" s="8">
        <v>125</v>
      </c>
      <c r="H419" s="9">
        <v>34468</v>
      </c>
      <c r="I419" s="10">
        <v>181</v>
      </c>
      <c r="J419" s="11">
        <f t="shared" si="45"/>
        <v>0.84799999999999998</v>
      </c>
      <c r="K419" s="10">
        <f t="shared" si="46"/>
        <v>325.16981132075472</v>
      </c>
      <c r="L419" s="10">
        <f t="shared" si="47"/>
        <v>275.74400000000003</v>
      </c>
      <c r="M419" s="5">
        <f t="shared" si="48"/>
        <v>144.16981132075472</v>
      </c>
      <c r="N419" s="1"/>
    </row>
    <row r="420" spans="1:14" x14ac:dyDescent="0.35">
      <c r="A420" s="6">
        <v>45711</v>
      </c>
      <c r="B420" s="7" t="s">
        <v>56</v>
      </c>
      <c r="C420" s="2" t="str">
        <f t="shared" si="42"/>
        <v>Feb</v>
      </c>
      <c r="D420" s="2" t="str">
        <f t="shared" si="43"/>
        <v>Off-Peak</v>
      </c>
      <c r="E420" s="2" t="str">
        <f t="shared" si="44"/>
        <v>Sun</v>
      </c>
      <c r="F420" s="8">
        <v>106</v>
      </c>
      <c r="G420" s="8">
        <v>125</v>
      </c>
      <c r="H420" s="9">
        <v>34562</v>
      </c>
      <c r="I420" s="10">
        <v>228</v>
      </c>
      <c r="J420" s="11">
        <f t="shared" si="45"/>
        <v>0.84799999999999998</v>
      </c>
      <c r="K420" s="10">
        <f t="shared" si="46"/>
        <v>326.05660377358492</v>
      </c>
      <c r="L420" s="10">
        <f t="shared" si="47"/>
        <v>276.49599999999998</v>
      </c>
      <c r="M420" s="5">
        <f t="shared" si="48"/>
        <v>98.056603773584925</v>
      </c>
      <c r="N420" s="1"/>
    </row>
    <row r="421" spans="1:14" x14ac:dyDescent="0.35">
      <c r="A421" s="6">
        <v>45712</v>
      </c>
      <c r="B421" s="7" t="s">
        <v>56</v>
      </c>
      <c r="C421" s="2" t="str">
        <f t="shared" si="42"/>
        <v>Feb</v>
      </c>
      <c r="D421" s="2" t="str">
        <f t="shared" si="43"/>
        <v>Off-Peak</v>
      </c>
      <c r="E421" s="2" t="str">
        <f t="shared" si="44"/>
        <v>Mon</v>
      </c>
      <c r="F421" s="8">
        <v>116</v>
      </c>
      <c r="G421" s="8">
        <v>125</v>
      </c>
      <c r="H421" s="9">
        <v>28081</v>
      </c>
      <c r="I421" s="10">
        <v>206</v>
      </c>
      <c r="J421" s="11">
        <f t="shared" si="45"/>
        <v>0.92800000000000005</v>
      </c>
      <c r="K421" s="10">
        <f t="shared" si="46"/>
        <v>242.07758620689654</v>
      </c>
      <c r="L421" s="10">
        <f t="shared" si="47"/>
        <v>224.648</v>
      </c>
      <c r="M421" s="5">
        <f t="shared" si="48"/>
        <v>36.077586206896541</v>
      </c>
      <c r="N421" s="1"/>
    </row>
    <row r="422" spans="1:14" x14ac:dyDescent="0.35">
      <c r="A422" s="6">
        <v>45713</v>
      </c>
      <c r="B422" s="7" t="s">
        <v>56</v>
      </c>
      <c r="C422" s="2" t="str">
        <f t="shared" si="42"/>
        <v>Feb</v>
      </c>
      <c r="D422" s="2" t="str">
        <f t="shared" si="43"/>
        <v>Off-Peak</v>
      </c>
      <c r="E422" s="2" t="str">
        <f t="shared" si="44"/>
        <v>Tue</v>
      </c>
      <c r="F422" s="8">
        <v>103</v>
      </c>
      <c r="G422" s="8">
        <v>125</v>
      </c>
      <c r="H422" s="9">
        <v>23503</v>
      </c>
      <c r="I422" s="10">
        <v>155</v>
      </c>
      <c r="J422" s="11">
        <f t="shared" si="45"/>
        <v>0.82399999999999995</v>
      </c>
      <c r="K422" s="10">
        <f t="shared" si="46"/>
        <v>228.18446601941747</v>
      </c>
      <c r="L422" s="10">
        <f t="shared" si="47"/>
        <v>188.024</v>
      </c>
      <c r="M422" s="5">
        <f t="shared" si="48"/>
        <v>73.184466019417471</v>
      </c>
      <c r="N422" s="1"/>
    </row>
    <row r="423" spans="1:14" x14ac:dyDescent="0.35">
      <c r="A423" s="6">
        <v>45714</v>
      </c>
      <c r="B423" s="7" t="s">
        <v>56</v>
      </c>
      <c r="C423" s="2" t="str">
        <f t="shared" si="42"/>
        <v>Feb</v>
      </c>
      <c r="D423" s="2" t="str">
        <f t="shared" si="43"/>
        <v>Off-Peak</v>
      </c>
      <c r="E423" s="2" t="str">
        <f t="shared" si="44"/>
        <v>Wed</v>
      </c>
      <c r="F423" s="8">
        <v>108</v>
      </c>
      <c r="G423" s="8">
        <v>125</v>
      </c>
      <c r="H423" s="9">
        <v>30901</v>
      </c>
      <c r="I423" s="10">
        <v>182</v>
      </c>
      <c r="J423" s="11">
        <f t="shared" si="45"/>
        <v>0.86399999999999999</v>
      </c>
      <c r="K423" s="10">
        <f t="shared" si="46"/>
        <v>286.12037037037038</v>
      </c>
      <c r="L423" s="10">
        <f t="shared" si="47"/>
        <v>247.208</v>
      </c>
      <c r="M423" s="5">
        <f t="shared" si="48"/>
        <v>104.12037037037038</v>
      </c>
      <c r="N423" s="1"/>
    </row>
    <row r="424" spans="1:14" x14ac:dyDescent="0.35">
      <c r="A424" s="6">
        <v>45715</v>
      </c>
      <c r="B424" s="7" t="s">
        <v>56</v>
      </c>
      <c r="C424" s="2" t="str">
        <f t="shared" si="42"/>
        <v>Feb</v>
      </c>
      <c r="D424" s="2" t="str">
        <f t="shared" si="43"/>
        <v>Off-Peak</v>
      </c>
      <c r="E424" s="2" t="str">
        <f t="shared" si="44"/>
        <v>Thu</v>
      </c>
      <c r="F424" s="8">
        <v>112</v>
      </c>
      <c r="G424" s="8">
        <v>125</v>
      </c>
      <c r="H424" s="9">
        <v>33745</v>
      </c>
      <c r="I424" s="10">
        <v>221</v>
      </c>
      <c r="J424" s="11">
        <f t="shared" si="45"/>
        <v>0.89600000000000002</v>
      </c>
      <c r="K424" s="10">
        <f t="shared" si="46"/>
        <v>301.29464285714283</v>
      </c>
      <c r="L424" s="10">
        <f t="shared" si="47"/>
        <v>269.95999999999998</v>
      </c>
      <c r="M424" s="5">
        <f t="shared" si="48"/>
        <v>80.294642857142833</v>
      </c>
      <c r="N424" s="1"/>
    </row>
    <row r="425" spans="1:14" x14ac:dyDescent="0.35">
      <c r="A425" s="6">
        <v>45716</v>
      </c>
      <c r="B425" s="7" t="s">
        <v>56</v>
      </c>
      <c r="C425" s="2" t="str">
        <f t="shared" si="42"/>
        <v>Feb</v>
      </c>
      <c r="D425" s="2" t="str">
        <f t="shared" si="43"/>
        <v>Off-Peak</v>
      </c>
      <c r="E425" s="2" t="str">
        <f t="shared" si="44"/>
        <v>Fri</v>
      </c>
      <c r="F425" s="8">
        <v>114</v>
      </c>
      <c r="G425" s="8">
        <v>125</v>
      </c>
      <c r="H425" s="9">
        <v>24312</v>
      </c>
      <c r="I425" s="10">
        <v>201</v>
      </c>
      <c r="J425" s="11">
        <f t="shared" si="45"/>
        <v>0.91200000000000003</v>
      </c>
      <c r="K425" s="10">
        <f t="shared" si="46"/>
        <v>213.26315789473685</v>
      </c>
      <c r="L425" s="10">
        <f t="shared" si="47"/>
        <v>194.49600000000001</v>
      </c>
      <c r="M425" s="5">
        <f t="shared" si="48"/>
        <v>12.26315789473685</v>
      </c>
      <c r="N425" s="1"/>
    </row>
    <row r="426" spans="1:14" x14ac:dyDescent="0.35">
      <c r="A426" s="6">
        <v>45717</v>
      </c>
      <c r="B426" s="7" t="s">
        <v>56</v>
      </c>
      <c r="C426" s="2" t="str">
        <f t="shared" si="42"/>
        <v>Mar</v>
      </c>
      <c r="D426" s="2" t="str">
        <f t="shared" si="43"/>
        <v>Off-Peak</v>
      </c>
      <c r="E426" s="2" t="str">
        <f t="shared" si="44"/>
        <v>Sat</v>
      </c>
      <c r="F426" s="8">
        <v>100</v>
      </c>
      <c r="G426" s="8">
        <v>125</v>
      </c>
      <c r="H426" s="9">
        <v>22530</v>
      </c>
      <c r="I426" s="10">
        <v>192</v>
      </c>
      <c r="J426" s="11">
        <f t="shared" si="45"/>
        <v>0.8</v>
      </c>
      <c r="K426" s="10">
        <f t="shared" si="46"/>
        <v>225.3</v>
      </c>
      <c r="L426" s="10">
        <f t="shared" si="47"/>
        <v>180.24</v>
      </c>
      <c r="M426" s="5">
        <f t="shared" si="48"/>
        <v>33.300000000000011</v>
      </c>
      <c r="N426" s="1"/>
    </row>
    <row r="427" spans="1:14" x14ac:dyDescent="0.35">
      <c r="A427" s="6">
        <v>45718</v>
      </c>
      <c r="B427" s="7" t="s">
        <v>56</v>
      </c>
      <c r="C427" s="2" t="str">
        <f t="shared" si="42"/>
        <v>Mar</v>
      </c>
      <c r="D427" s="2" t="str">
        <f t="shared" si="43"/>
        <v>Off-Peak</v>
      </c>
      <c r="E427" s="2" t="str">
        <f t="shared" si="44"/>
        <v>Sun</v>
      </c>
      <c r="F427" s="8">
        <v>93</v>
      </c>
      <c r="G427" s="8">
        <v>125</v>
      </c>
      <c r="H427" s="9">
        <v>28197</v>
      </c>
      <c r="I427" s="10">
        <v>143</v>
      </c>
      <c r="J427" s="11">
        <f t="shared" si="45"/>
        <v>0.74399999999999999</v>
      </c>
      <c r="K427" s="10">
        <f t="shared" si="46"/>
        <v>303.19354838709677</v>
      </c>
      <c r="L427" s="10">
        <f t="shared" si="47"/>
        <v>225.57599999999999</v>
      </c>
      <c r="M427" s="5">
        <f t="shared" si="48"/>
        <v>160.19354838709677</v>
      </c>
      <c r="N427" s="1"/>
    </row>
    <row r="428" spans="1:14" x14ac:dyDescent="0.35">
      <c r="A428" s="6">
        <v>45719</v>
      </c>
      <c r="B428" s="7" t="s">
        <v>56</v>
      </c>
      <c r="C428" s="2" t="str">
        <f t="shared" si="42"/>
        <v>Mar</v>
      </c>
      <c r="D428" s="2" t="str">
        <f t="shared" si="43"/>
        <v>Off-Peak</v>
      </c>
      <c r="E428" s="2" t="str">
        <f t="shared" si="44"/>
        <v>Mon</v>
      </c>
      <c r="F428" s="8">
        <v>104</v>
      </c>
      <c r="G428" s="8">
        <v>125</v>
      </c>
      <c r="H428" s="9">
        <v>31288</v>
      </c>
      <c r="I428" s="10">
        <v>236</v>
      </c>
      <c r="J428" s="11">
        <f t="shared" si="45"/>
        <v>0.83199999999999996</v>
      </c>
      <c r="K428" s="10">
        <f t="shared" si="46"/>
        <v>300.84615384615387</v>
      </c>
      <c r="L428" s="10">
        <f t="shared" si="47"/>
        <v>250.304</v>
      </c>
      <c r="M428" s="5">
        <f t="shared" si="48"/>
        <v>64.846153846153868</v>
      </c>
      <c r="N428" s="1"/>
    </row>
    <row r="429" spans="1:14" x14ac:dyDescent="0.35">
      <c r="A429" s="6">
        <v>45720</v>
      </c>
      <c r="B429" s="7" t="s">
        <v>56</v>
      </c>
      <c r="C429" s="2" t="str">
        <f t="shared" si="42"/>
        <v>Mar</v>
      </c>
      <c r="D429" s="2" t="str">
        <f t="shared" si="43"/>
        <v>Off-Peak</v>
      </c>
      <c r="E429" s="2" t="str">
        <f t="shared" si="44"/>
        <v>Tue</v>
      </c>
      <c r="F429" s="8">
        <v>96</v>
      </c>
      <c r="G429" s="8">
        <v>125</v>
      </c>
      <c r="H429" s="9">
        <v>34658</v>
      </c>
      <c r="I429" s="10">
        <v>177</v>
      </c>
      <c r="J429" s="11">
        <f t="shared" si="45"/>
        <v>0.76800000000000002</v>
      </c>
      <c r="K429" s="10">
        <f t="shared" si="46"/>
        <v>361.02083333333331</v>
      </c>
      <c r="L429" s="10">
        <f t="shared" si="47"/>
        <v>277.26400000000001</v>
      </c>
      <c r="M429" s="5">
        <f t="shared" si="48"/>
        <v>184.02083333333331</v>
      </c>
      <c r="N429" s="1"/>
    </row>
    <row r="430" spans="1:14" x14ac:dyDescent="0.35">
      <c r="A430" s="6">
        <v>45721</v>
      </c>
      <c r="B430" s="7" t="s">
        <v>56</v>
      </c>
      <c r="C430" s="2" t="str">
        <f t="shared" si="42"/>
        <v>Mar</v>
      </c>
      <c r="D430" s="2" t="str">
        <f t="shared" si="43"/>
        <v>Off-Peak</v>
      </c>
      <c r="E430" s="2" t="str">
        <f t="shared" si="44"/>
        <v>Wed</v>
      </c>
      <c r="F430" s="8">
        <v>97</v>
      </c>
      <c r="G430" s="8">
        <v>125</v>
      </c>
      <c r="H430" s="9">
        <v>20368</v>
      </c>
      <c r="I430" s="10">
        <v>191</v>
      </c>
      <c r="J430" s="11">
        <f t="shared" si="45"/>
        <v>0.77600000000000002</v>
      </c>
      <c r="K430" s="10">
        <f t="shared" si="46"/>
        <v>209.97938144329896</v>
      </c>
      <c r="L430" s="10">
        <f t="shared" si="47"/>
        <v>162.94399999999999</v>
      </c>
      <c r="M430" s="5">
        <f t="shared" si="48"/>
        <v>18.979381443298962</v>
      </c>
      <c r="N430" s="1"/>
    </row>
    <row r="431" spans="1:14" x14ac:dyDescent="0.35">
      <c r="A431" s="6">
        <v>45722</v>
      </c>
      <c r="B431" s="7" t="s">
        <v>56</v>
      </c>
      <c r="C431" s="2" t="str">
        <f t="shared" si="42"/>
        <v>Mar</v>
      </c>
      <c r="D431" s="2" t="str">
        <f t="shared" si="43"/>
        <v>Off-Peak</v>
      </c>
      <c r="E431" s="2" t="str">
        <f t="shared" si="44"/>
        <v>Thu</v>
      </c>
      <c r="F431" s="8">
        <v>98</v>
      </c>
      <c r="G431" s="8">
        <v>125</v>
      </c>
      <c r="H431" s="9">
        <v>31199</v>
      </c>
      <c r="I431" s="10">
        <v>193</v>
      </c>
      <c r="J431" s="11">
        <f t="shared" si="45"/>
        <v>0.78400000000000003</v>
      </c>
      <c r="K431" s="10">
        <f t="shared" si="46"/>
        <v>318.35714285714283</v>
      </c>
      <c r="L431" s="10">
        <f t="shared" si="47"/>
        <v>249.59200000000001</v>
      </c>
      <c r="M431" s="5">
        <f t="shared" si="48"/>
        <v>125.35714285714283</v>
      </c>
      <c r="N431" s="1"/>
    </row>
    <row r="432" spans="1:14" x14ac:dyDescent="0.35">
      <c r="A432" s="6">
        <v>45723</v>
      </c>
      <c r="B432" s="7" t="s">
        <v>56</v>
      </c>
      <c r="C432" s="2" t="str">
        <f t="shared" si="42"/>
        <v>Mar</v>
      </c>
      <c r="D432" s="2" t="str">
        <f t="shared" si="43"/>
        <v>Off-Peak</v>
      </c>
      <c r="E432" s="2" t="str">
        <f t="shared" si="44"/>
        <v>Fri</v>
      </c>
      <c r="F432" s="8">
        <v>106</v>
      </c>
      <c r="G432" s="8">
        <v>125</v>
      </c>
      <c r="H432" s="9">
        <v>20815</v>
      </c>
      <c r="I432" s="10">
        <v>168</v>
      </c>
      <c r="J432" s="11">
        <f t="shared" si="45"/>
        <v>0.84799999999999998</v>
      </c>
      <c r="K432" s="10">
        <f t="shared" si="46"/>
        <v>196.3679245283019</v>
      </c>
      <c r="L432" s="10">
        <f t="shared" si="47"/>
        <v>166.52</v>
      </c>
      <c r="M432" s="5">
        <f t="shared" si="48"/>
        <v>28.367924528301899</v>
      </c>
      <c r="N432" s="1"/>
    </row>
    <row r="433" spans="1:14" x14ac:dyDescent="0.35">
      <c r="A433" s="6">
        <v>45724</v>
      </c>
      <c r="B433" s="7" t="s">
        <v>56</v>
      </c>
      <c r="C433" s="2" t="str">
        <f t="shared" si="42"/>
        <v>Mar</v>
      </c>
      <c r="D433" s="2" t="str">
        <f t="shared" si="43"/>
        <v>Off-Peak</v>
      </c>
      <c r="E433" s="2" t="str">
        <f t="shared" si="44"/>
        <v>Sat</v>
      </c>
      <c r="F433" s="8">
        <v>96</v>
      </c>
      <c r="G433" s="8">
        <v>125</v>
      </c>
      <c r="H433" s="9">
        <v>13138</v>
      </c>
      <c r="I433" s="10">
        <v>243</v>
      </c>
      <c r="J433" s="11">
        <f t="shared" si="45"/>
        <v>0.76800000000000002</v>
      </c>
      <c r="K433" s="10">
        <f t="shared" si="46"/>
        <v>136.85416666666666</v>
      </c>
      <c r="L433" s="10">
        <f t="shared" si="47"/>
        <v>105.104</v>
      </c>
      <c r="M433" s="5">
        <f t="shared" si="48"/>
        <v>-106.14583333333334</v>
      </c>
      <c r="N433" s="1"/>
    </row>
    <row r="434" spans="1:14" x14ac:dyDescent="0.35">
      <c r="A434" s="6">
        <v>45725</v>
      </c>
      <c r="B434" s="7" t="s">
        <v>56</v>
      </c>
      <c r="C434" s="2" t="str">
        <f t="shared" si="42"/>
        <v>Mar</v>
      </c>
      <c r="D434" s="2" t="str">
        <f t="shared" si="43"/>
        <v>Off-Peak</v>
      </c>
      <c r="E434" s="2" t="str">
        <f t="shared" si="44"/>
        <v>Sun</v>
      </c>
      <c r="F434" s="8">
        <v>112</v>
      </c>
      <c r="G434" s="8">
        <v>125</v>
      </c>
      <c r="H434" s="9">
        <v>30735</v>
      </c>
      <c r="I434" s="10">
        <v>201</v>
      </c>
      <c r="J434" s="11">
        <f t="shared" si="45"/>
        <v>0.89600000000000002</v>
      </c>
      <c r="K434" s="10">
        <f t="shared" si="46"/>
        <v>274.41964285714283</v>
      </c>
      <c r="L434" s="10">
        <f t="shared" si="47"/>
        <v>245.88</v>
      </c>
      <c r="M434" s="5">
        <f t="shared" si="48"/>
        <v>73.419642857142833</v>
      </c>
      <c r="N434" s="1"/>
    </row>
    <row r="435" spans="1:14" x14ac:dyDescent="0.35">
      <c r="A435" s="6">
        <v>45726</v>
      </c>
      <c r="B435" s="7" t="s">
        <v>56</v>
      </c>
      <c r="C435" s="2" t="str">
        <f t="shared" si="42"/>
        <v>Mar</v>
      </c>
      <c r="D435" s="2" t="str">
        <f t="shared" si="43"/>
        <v>Off-Peak</v>
      </c>
      <c r="E435" s="2" t="str">
        <f t="shared" si="44"/>
        <v>Mon</v>
      </c>
      <c r="F435" s="8">
        <v>91</v>
      </c>
      <c r="G435" s="8">
        <v>125</v>
      </c>
      <c r="H435" s="9">
        <v>18166</v>
      </c>
      <c r="I435" s="10">
        <v>177</v>
      </c>
      <c r="J435" s="11">
        <f t="shared" si="45"/>
        <v>0.72799999999999998</v>
      </c>
      <c r="K435" s="10">
        <f t="shared" si="46"/>
        <v>199.62637362637363</v>
      </c>
      <c r="L435" s="10">
        <f t="shared" si="47"/>
        <v>145.328</v>
      </c>
      <c r="M435" s="5">
        <f t="shared" si="48"/>
        <v>22.626373626373635</v>
      </c>
      <c r="N435" s="1"/>
    </row>
    <row r="436" spans="1:14" x14ac:dyDescent="0.35">
      <c r="A436" s="6">
        <v>45727</v>
      </c>
      <c r="B436" s="7" t="s">
        <v>56</v>
      </c>
      <c r="C436" s="2" t="str">
        <f t="shared" si="42"/>
        <v>Mar</v>
      </c>
      <c r="D436" s="2" t="str">
        <f t="shared" si="43"/>
        <v>Off-Peak</v>
      </c>
      <c r="E436" s="2" t="str">
        <f t="shared" si="44"/>
        <v>Tue</v>
      </c>
      <c r="F436" s="8">
        <v>119</v>
      </c>
      <c r="G436" s="8">
        <v>125</v>
      </c>
      <c r="H436" s="9">
        <v>27531</v>
      </c>
      <c r="I436" s="10">
        <v>126</v>
      </c>
      <c r="J436" s="11">
        <f t="shared" si="45"/>
        <v>0.95199999999999996</v>
      </c>
      <c r="K436" s="10">
        <f t="shared" si="46"/>
        <v>231.35294117647058</v>
      </c>
      <c r="L436" s="10">
        <f t="shared" si="47"/>
        <v>220.24799999999999</v>
      </c>
      <c r="M436" s="5">
        <f t="shared" si="48"/>
        <v>105.35294117647058</v>
      </c>
      <c r="N436" s="1"/>
    </row>
    <row r="437" spans="1:14" x14ac:dyDescent="0.35">
      <c r="A437" s="6">
        <v>45728</v>
      </c>
      <c r="B437" s="7" t="s">
        <v>56</v>
      </c>
      <c r="C437" s="2" t="str">
        <f t="shared" si="42"/>
        <v>Mar</v>
      </c>
      <c r="D437" s="2" t="str">
        <f t="shared" si="43"/>
        <v>Off-Peak</v>
      </c>
      <c r="E437" s="2" t="str">
        <f t="shared" si="44"/>
        <v>Wed</v>
      </c>
      <c r="F437" s="8">
        <v>92</v>
      </c>
      <c r="G437" s="8">
        <v>125</v>
      </c>
      <c r="H437" s="9">
        <v>13903</v>
      </c>
      <c r="I437" s="10">
        <v>244</v>
      </c>
      <c r="J437" s="11">
        <f t="shared" si="45"/>
        <v>0.73599999999999999</v>
      </c>
      <c r="K437" s="10">
        <f t="shared" si="46"/>
        <v>151.11956521739131</v>
      </c>
      <c r="L437" s="10">
        <f t="shared" si="47"/>
        <v>111.224</v>
      </c>
      <c r="M437" s="5">
        <f t="shared" si="48"/>
        <v>-92.880434782608688</v>
      </c>
      <c r="N437" s="1"/>
    </row>
    <row r="438" spans="1:14" x14ac:dyDescent="0.35">
      <c r="A438" s="6">
        <v>45729</v>
      </c>
      <c r="B438" s="7" t="s">
        <v>56</v>
      </c>
      <c r="C438" s="2" t="str">
        <f t="shared" si="42"/>
        <v>Mar</v>
      </c>
      <c r="D438" s="2" t="str">
        <f t="shared" si="43"/>
        <v>Off-Peak</v>
      </c>
      <c r="E438" s="2" t="str">
        <f t="shared" si="44"/>
        <v>Thu</v>
      </c>
      <c r="F438" s="8">
        <v>110</v>
      </c>
      <c r="G438" s="8">
        <v>125</v>
      </c>
      <c r="H438" s="9">
        <v>31144</v>
      </c>
      <c r="I438" s="10">
        <v>179</v>
      </c>
      <c r="J438" s="11">
        <f t="shared" si="45"/>
        <v>0.88</v>
      </c>
      <c r="K438" s="10">
        <f t="shared" si="46"/>
        <v>283.12727272727273</v>
      </c>
      <c r="L438" s="10">
        <f t="shared" si="47"/>
        <v>249.15199999999999</v>
      </c>
      <c r="M438" s="5">
        <f t="shared" si="48"/>
        <v>104.12727272727273</v>
      </c>
      <c r="N438" s="1"/>
    </row>
    <row r="439" spans="1:14" x14ac:dyDescent="0.35">
      <c r="A439" s="6">
        <v>45730</v>
      </c>
      <c r="B439" s="7" t="s">
        <v>56</v>
      </c>
      <c r="C439" s="2" t="str">
        <f t="shared" si="42"/>
        <v>Mar</v>
      </c>
      <c r="D439" s="2" t="str">
        <f t="shared" si="43"/>
        <v>Off-Peak</v>
      </c>
      <c r="E439" s="2" t="str">
        <f t="shared" si="44"/>
        <v>Fri</v>
      </c>
      <c r="F439" s="8">
        <v>109</v>
      </c>
      <c r="G439" s="8">
        <v>125</v>
      </c>
      <c r="H439" s="9">
        <v>11613</v>
      </c>
      <c r="I439" s="10">
        <v>152</v>
      </c>
      <c r="J439" s="11">
        <f t="shared" si="45"/>
        <v>0.872</v>
      </c>
      <c r="K439" s="10">
        <f t="shared" si="46"/>
        <v>106.54128440366972</v>
      </c>
      <c r="L439" s="10">
        <f t="shared" si="47"/>
        <v>92.903999999999996</v>
      </c>
      <c r="M439" s="5">
        <f t="shared" si="48"/>
        <v>-45.458715596330279</v>
      </c>
      <c r="N439" s="1" t="s">
        <v>15</v>
      </c>
    </row>
    <row r="440" spans="1:14" x14ac:dyDescent="0.35">
      <c r="A440" s="6">
        <v>45731</v>
      </c>
      <c r="B440" s="7" t="s">
        <v>56</v>
      </c>
      <c r="C440" s="2" t="str">
        <f t="shared" si="42"/>
        <v>Mar</v>
      </c>
      <c r="D440" s="2" t="str">
        <f t="shared" si="43"/>
        <v>Off-Peak</v>
      </c>
      <c r="E440" s="2" t="str">
        <f t="shared" si="44"/>
        <v>Sat</v>
      </c>
      <c r="F440" s="8">
        <v>105</v>
      </c>
      <c r="G440" s="8">
        <v>125</v>
      </c>
      <c r="H440" s="9">
        <v>19424</v>
      </c>
      <c r="I440" s="10">
        <v>218</v>
      </c>
      <c r="J440" s="11">
        <f t="shared" si="45"/>
        <v>0.84</v>
      </c>
      <c r="K440" s="10">
        <f t="shared" si="46"/>
        <v>184.99047619047619</v>
      </c>
      <c r="L440" s="10">
        <f t="shared" si="47"/>
        <v>155.392</v>
      </c>
      <c r="M440" s="5">
        <f t="shared" si="48"/>
        <v>-33.009523809523813</v>
      </c>
      <c r="N440" s="1" t="s">
        <v>15</v>
      </c>
    </row>
    <row r="441" spans="1:14" x14ac:dyDescent="0.35">
      <c r="A441" s="6">
        <v>45732</v>
      </c>
      <c r="B441" s="7" t="s">
        <v>56</v>
      </c>
      <c r="C441" s="2" t="str">
        <f t="shared" si="42"/>
        <v>Mar</v>
      </c>
      <c r="D441" s="2" t="str">
        <f t="shared" si="43"/>
        <v>Off-Peak</v>
      </c>
      <c r="E441" s="2" t="str">
        <f t="shared" si="44"/>
        <v>Sun</v>
      </c>
      <c r="F441" s="8">
        <v>109</v>
      </c>
      <c r="G441" s="8">
        <v>125</v>
      </c>
      <c r="H441" s="9">
        <v>24164</v>
      </c>
      <c r="I441" s="10">
        <v>153</v>
      </c>
      <c r="J441" s="11">
        <f t="shared" si="45"/>
        <v>0.872</v>
      </c>
      <c r="K441" s="10">
        <f t="shared" si="46"/>
        <v>221.6880733944954</v>
      </c>
      <c r="L441" s="10">
        <f t="shared" si="47"/>
        <v>193.31200000000001</v>
      </c>
      <c r="M441" s="5">
        <f t="shared" si="48"/>
        <v>68.688073394495405</v>
      </c>
      <c r="N441" s="1" t="s">
        <v>15</v>
      </c>
    </row>
    <row r="442" spans="1:14" x14ac:dyDescent="0.35">
      <c r="A442" s="6">
        <v>45733</v>
      </c>
      <c r="B442" s="7" t="s">
        <v>56</v>
      </c>
      <c r="C442" s="2" t="str">
        <f t="shared" si="42"/>
        <v>Mar</v>
      </c>
      <c r="D442" s="2" t="str">
        <f t="shared" si="43"/>
        <v>Off-Peak</v>
      </c>
      <c r="E442" s="2" t="str">
        <f t="shared" si="44"/>
        <v>Mon</v>
      </c>
      <c r="F442" s="8">
        <v>94</v>
      </c>
      <c r="G442" s="8">
        <v>125</v>
      </c>
      <c r="H442" s="9">
        <v>13264</v>
      </c>
      <c r="I442" s="10">
        <v>233</v>
      </c>
      <c r="J442" s="11">
        <f t="shared" si="45"/>
        <v>0.752</v>
      </c>
      <c r="K442" s="10">
        <f t="shared" si="46"/>
        <v>141.10638297872342</v>
      </c>
      <c r="L442" s="10">
        <f t="shared" si="47"/>
        <v>106.11199999999999</v>
      </c>
      <c r="M442" s="5">
        <f t="shared" si="48"/>
        <v>-91.893617021276583</v>
      </c>
      <c r="N442" s="1" t="s">
        <v>15</v>
      </c>
    </row>
    <row r="443" spans="1:14" x14ac:dyDescent="0.35">
      <c r="A443" s="6">
        <v>45734</v>
      </c>
      <c r="B443" s="7" t="s">
        <v>56</v>
      </c>
      <c r="C443" s="2" t="str">
        <f t="shared" si="42"/>
        <v>Mar</v>
      </c>
      <c r="D443" s="2" t="str">
        <f t="shared" si="43"/>
        <v>Off-Peak</v>
      </c>
      <c r="E443" s="2" t="str">
        <f t="shared" si="44"/>
        <v>Tue</v>
      </c>
      <c r="F443" s="8">
        <v>119</v>
      </c>
      <c r="G443" s="8">
        <v>125</v>
      </c>
      <c r="H443" s="9">
        <v>26257</v>
      </c>
      <c r="I443" s="10">
        <v>189</v>
      </c>
      <c r="J443" s="11">
        <f t="shared" si="45"/>
        <v>0.95199999999999996</v>
      </c>
      <c r="K443" s="10">
        <f t="shared" si="46"/>
        <v>220.64705882352942</v>
      </c>
      <c r="L443" s="10">
        <f t="shared" si="47"/>
        <v>210.05600000000001</v>
      </c>
      <c r="M443" s="5">
        <f t="shared" si="48"/>
        <v>31.64705882352942</v>
      </c>
      <c r="N443" s="1"/>
    </row>
    <row r="444" spans="1:14" x14ac:dyDescent="0.35">
      <c r="A444" s="6">
        <v>45735</v>
      </c>
      <c r="B444" s="7" t="s">
        <v>56</v>
      </c>
      <c r="C444" s="2" t="str">
        <f t="shared" si="42"/>
        <v>Mar</v>
      </c>
      <c r="D444" s="2" t="str">
        <f t="shared" si="43"/>
        <v>Off-Peak</v>
      </c>
      <c r="E444" s="2" t="str">
        <f t="shared" si="44"/>
        <v>Wed</v>
      </c>
      <c r="F444" s="8">
        <v>103</v>
      </c>
      <c r="G444" s="8">
        <v>125</v>
      </c>
      <c r="H444" s="9">
        <v>27952</v>
      </c>
      <c r="I444" s="10">
        <v>245</v>
      </c>
      <c r="J444" s="11">
        <f t="shared" si="45"/>
        <v>0.82399999999999995</v>
      </c>
      <c r="K444" s="10">
        <f t="shared" si="46"/>
        <v>271.378640776699</v>
      </c>
      <c r="L444" s="10">
        <f t="shared" si="47"/>
        <v>223.61600000000001</v>
      </c>
      <c r="M444" s="5">
        <f t="shared" si="48"/>
        <v>26.378640776699001</v>
      </c>
      <c r="N444" s="1"/>
    </row>
    <row r="445" spans="1:14" x14ac:dyDescent="0.35">
      <c r="A445" s="6">
        <v>45736</v>
      </c>
      <c r="B445" s="7" t="s">
        <v>56</v>
      </c>
      <c r="C445" s="2" t="str">
        <f t="shared" si="42"/>
        <v>Mar</v>
      </c>
      <c r="D445" s="2" t="str">
        <f t="shared" si="43"/>
        <v>Off-Peak</v>
      </c>
      <c r="E445" s="2" t="str">
        <f t="shared" si="44"/>
        <v>Thu</v>
      </c>
      <c r="F445" s="8">
        <v>96</v>
      </c>
      <c r="G445" s="8">
        <v>125</v>
      </c>
      <c r="H445" s="9">
        <v>32011</v>
      </c>
      <c r="I445" s="10">
        <v>208</v>
      </c>
      <c r="J445" s="11">
        <f t="shared" si="45"/>
        <v>0.76800000000000002</v>
      </c>
      <c r="K445" s="10">
        <f t="shared" si="46"/>
        <v>333.44791666666669</v>
      </c>
      <c r="L445" s="10">
        <f t="shared" si="47"/>
        <v>256.08800000000002</v>
      </c>
      <c r="M445" s="5">
        <f t="shared" si="48"/>
        <v>125.44791666666669</v>
      </c>
      <c r="N445" s="1"/>
    </row>
    <row r="446" spans="1:14" x14ac:dyDescent="0.35">
      <c r="A446" s="6">
        <v>45737</v>
      </c>
      <c r="B446" s="7" t="s">
        <v>56</v>
      </c>
      <c r="C446" s="2" t="str">
        <f t="shared" si="42"/>
        <v>Mar</v>
      </c>
      <c r="D446" s="2" t="str">
        <f t="shared" si="43"/>
        <v>Off-Peak</v>
      </c>
      <c r="E446" s="2" t="str">
        <f t="shared" si="44"/>
        <v>Fri</v>
      </c>
      <c r="F446" s="8">
        <v>101</v>
      </c>
      <c r="G446" s="8">
        <v>125</v>
      </c>
      <c r="H446" s="9">
        <v>14111</v>
      </c>
      <c r="I446" s="10">
        <v>150</v>
      </c>
      <c r="J446" s="11">
        <f t="shared" si="45"/>
        <v>0.80800000000000005</v>
      </c>
      <c r="K446" s="10">
        <f t="shared" si="46"/>
        <v>139.71287128712871</v>
      </c>
      <c r="L446" s="10">
        <f t="shared" si="47"/>
        <v>112.88800000000001</v>
      </c>
      <c r="M446" s="5">
        <f t="shared" si="48"/>
        <v>-10.287128712871294</v>
      </c>
      <c r="N446" s="1"/>
    </row>
    <row r="447" spans="1:14" x14ac:dyDescent="0.35">
      <c r="A447" s="6">
        <v>45738</v>
      </c>
      <c r="B447" s="7" t="s">
        <v>56</v>
      </c>
      <c r="C447" s="2" t="str">
        <f t="shared" si="42"/>
        <v>Mar</v>
      </c>
      <c r="D447" s="2" t="str">
        <f t="shared" si="43"/>
        <v>Off-Peak</v>
      </c>
      <c r="E447" s="2" t="str">
        <f t="shared" si="44"/>
        <v>Sat</v>
      </c>
      <c r="F447" s="8">
        <v>87</v>
      </c>
      <c r="G447" s="8">
        <v>125</v>
      </c>
      <c r="H447" s="9">
        <v>18290</v>
      </c>
      <c r="I447" s="10">
        <v>164</v>
      </c>
      <c r="J447" s="11">
        <f t="shared" si="45"/>
        <v>0.69599999999999995</v>
      </c>
      <c r="K447" s="10">
        <f t="shared" si="46"/>
        <v>210.22988505747125</v>
      </c>
      <c r="L447" s="10">
        <f t="shared" si="47"/>
        <v>146.32</v>
      </c>
      <c r="M447" s="5">
        <f t="shared" si="48"/>
        <v>46.22988505747125</v>
      </c>
      <c r="N447" s="1" t="s">
        <v>14</v>
      </c>
    </row>
    <row r="448" spans="1:14" x14ac:dyDescent="0.35">
      <c r="A448" s="6">
        <v>45739</v>
      </c>
      <c r="B448" s="7" t="s">
        <v>56</v>
      </c>
      <c r="C448" s="2" t="str">
        <f t="shared" si="42"/>
        <v>Mar</v>
      </c>
      <c r="D448" s="2" t="str">
        <f t="shared" si="43"/>
        <v>Off-Peak</v>
      </c>
      <c r="E448" s="2" t="str">
        <f t="shared" si="44"/>
        <v>Sun</v>
      </c>
      <c r="F448" s="8">
        <v>92</v>
      </c>
      <c r="G448" s="8">
        <v>125</v>
      </c>
      <c r="H448" s="9">
        <v>28846</v>
      </c>
      <c r="I448" s="10">
        <v>224</v>
      </c>
      <c r="J448" s="11">
        <f t="shared" si="45"/>
        <v>0.73599999999999999</v>
      </c>
      <c r="K448" s="10">
        <f t="shared" si="46"/>
        <v>313.54347826086956</v>
      </c>
      <c r="L448" s="10">
        <f t="shared" si="47"/>
        <v>230.768</v>
      </c>
      <c r="M448" s="5">
        <f t="shared" si="48"/>
        <v>89.543478260869563</v>
      </c>
      <c r="N448" s="1"/>
    </row>
    <row r="449" spans="1:14" x14ac:dyDescent="0.35">
      <c r="A449" s="6">
        <v>45740</v>
      </c>
      <c r="B449" s="7" t="s">
        <v>56</v>
      </c>
      <c r="C449" s="2" t="str">
        <f t="shared" si="42"/>
        <v>Mar</v>
      </c>
      <c r="D449" s="2" t="str">
        <f t="shared" si="43"/>
        <v>Off-Peak</v>
      </c>
      <c r="E449" s="2" t="str">
        <f t="shared" si="44"/>
        <v>Mon</v>
      </c>
      <c r="F449" s="8">
        <v>119</v>
      </c>
      <c r="G449" s="8">
        <v>125</v>
      </c>
      <c r="H449" s="9">
        <v>23484</v>
      </c>
      <c r="I449" s="10">
        <v>201</v>
      </c>
      <c r="J449" s="11">
        <f t="shared" si="45"/>
        <v>0.95199999999999996</v>
      </c>
      <c r="K449" s="10">
        <f t="shared" si="46"/>
        <v>197.34453781512605</v>
      </c>
      <c r="L449" s="10">
        <f t="shared" si="47"/>
        <v>187.87200000000001</v>
      </c>
      <c r="M449" s="5">
        <f t="shared" si="48"/>
        <v>-3.6554621848739544</v>
      </c>
      <c r="N449" s="1"/>
    </row>
    <row r="450" spans="1:14" x14ac:dyDescent="0.35">
      <c r="A450" s="6">
        <v>45741</v>
      </c>
      <c r="B450" s="7" t="s">
        <v>56</v>
      </c>
      <c r="C450" s="2" t="str">
        <f t="shared" ref="C450:C513" si="49">CHOOSE(MONTH(A450),"Jan","Feb","Mar","Apr","May","Jun","Jul","Aug","Sep","Oct","Nov","Dec")</f>
        <v>Mar</v>
      </c>
      <c r="D450" s="2" t="str">
        <f t="shared" ref="D450:D513" si="50">IF(AND(MONTH(A450)&gt;=5,MONTH(A450)&lt;=9),"Peak","Off-Peak")</f>
        <v>Off-Peak</v>
      </c>
      <c r="E450" s="2" t="str">
        <f t="shared" ref="E450:E513" si="51">CHOOSE(WEEKDAY(A450,2),"Mon","Tue","Wed","Thu","Fri","Sat","Sun")</f>
        <v>Tue</v>
      </c>
      <c r="F450" s="8">
        <v>115</v>
      </c>
      <c r="G450" s="8">
        <v>125</v>
      </c>
      <c r="H450" s="9">
        <v>31089</v>
      </c>
      <c r="I450" s="10">
        <v>181</v>
      </c>
      <c r="J450" s="11">
        <f t="shared" ref="J450:J513" si="52">IF(G450=0,0,F450/G450)</f>
        <v>0.92</v>
      </c>
      <c r="K450" s="10">
        <f t="shared" ref="K450:K513" si="53">IF(F450=0,0,H450/F450)</f>
        <v>270.33913043478259</v>
      </c>
      <c r="L450" s="10">
        <f t="shared" ref="L450:L513" si="54">IF(G450=0,0,H450/G450)</f>
        <v>248.71199999999999</v>
      </c>
      <c r="M450" s="5">
        <f t="shared" ref="M450:M513" si="55">K450-I450</f>
        <v>89.339130434782589</v>
      </c>
      <c r="N450" s="1"/>
    </row>
    <row r="451" spans="1:14" x14ac:dyDescent="0.35">
      <c r="A451" s="6">
        <v>45742</v>
      </c>
      <c r="B451" s="7" t="s">
        <v>56</v>
      </c>
      <c r="C451" s="2" t="str">
        <f t="shared" si="49"/>
        <v>Mar</v>
      </c>
      <c r="D451" s="2" t="str">
        <f t="shared" si="50"/>
        <v>Off-Peak</v>
      </c>
      <c r="E451" s="2" t="str">
        <f t="shared" si="51"/>
        <v>Wed</v>
      </c>
      <c r="F451" s="8">
        <v>108</v>
      </c>
      <c r="G451" s="8">
        <v>125</v>
      </c>
      <c r="H451" s="9">
        <v>32457</v>
      </c>
      <c r="I451" s="10">
        <v>167</v>
      </c>
      <c r="J451" s="11">
        <f t="shared" si="52"/>
        <v>0.86399999999999999</v>
      </c>
      <c r="K451" s="10">
        <f t="shared" si="53"/>
        <v>300.52777777777777</v>
      </c>
      <c r="L451" s="10">
        <f t="shared" si="54"/>
        <v>259.65600000000001</v>
      </c>
      <c r="M451" s="5">
        <f t="shared" si="55"/>
        <v>133.52777777777777</v>
      </c>
      <c r="N451" s="1"/>
    </row>
    <row r="452" spans="1:14" x14ac:dyDescent="0.35">
      <c r="A452" s="6">
        <v>45743</v>
      </c>
      <c r="B452" s="7" t="s">
        <v>56</v>
      </c>
      <c r="C452" s="2" t="str">
        <f t="shared" si="49"/>
        <v>Mar</v>
      </c>
      <c r="D452" s="2" t="str">
        <f t="shared" si="50"/>
        <v>Off-Peak</v>
      </c>
      <c r="E452" s="2" t="str">
        <f t="shared" si="51"/>
        <v>Thu</v>
      </c>
      <c r="F452" s="8">
        <v>92</v>
      </c>
      <c r="G452" s="8">
        <v>125</v>
      </c>
      <c r="H452" s="9">
        <v>12828</v>
      </c>
      <c r="I452" s="10">
        <v>172</v>
      </c>
      <c r="J452" s="11">
        <f t="shared" si="52"/>
        <v>0.73599999999999999</v>
      </c>
      <c r="K452" s="10">
        <f t="shared" si="53"/>
        <v>139.43478260869566</v>
      </c>
      <c r="L452" s="10">
        <f t="shared" si="54"/>
        <v>102.624</v>
      </c>
      <c r="M452" s="5">
        <f t="shared" si="55"/>
        <v>-32.565217391304344</v>
      </c>
      <c r="N452" s="1"/>
    </row>
    <row r="453" spans="1:14" x14ac:dyDescent="0.35">
      <c r="A453" s="6">
        <v>45744</v>
      </c>
      <c r="B453" s="7" t="s">
        <v>56</v>
      </c>
      <c r="C453" s="2" t="str">
        <f t="shared" si="49"/>
        <v>Mar</v>
      </c>
      <c r="D453" s="2" t="str">
        <f t="shared" si="50"/>
        <v>Off-Peak</v>
      </c>
      <c r="E453" s="2" t="str">
        <f t="shared" si="51"/>
        <v>Fri</v>
      </c>
      <c r="F453" s="8">
        <v>87</v>
      </c>
      <c r="G453" s="8">
        <v>125</v>
      </c>
      <c r="H453" s="9">
        <v>30894</v>
      </c>
      <c r="I453" s="10">
        <v>179</v>
      </c>
      <c r="J453" s="11">
        <f t="shared" si="52"/>
        <v>0.69599999999999995</v>
      </c>
      <c r="K453" s="10">
        <f t="shared" si="53"/>
        <v>355.10344827586209</v>
      </c>
      <c r="L453" s="10">
        <f t="shared" si="54"/>
        <v>247.15199999999999</v>
      </c>
      <c r="M453" s="5">
        <f t="shared" si="55"/>
        <v>176.10344827586209</v>
      </c>
      <c r="N453" s="1"/>
    </row>
    <row r="454" spans="1:14" x14ac:dyDescent="0.35">
      <c r="A454" s="6">
        <v>45745</v>
      </c>
      <c r="B454" s="7" t="s">
        <v>56</v>
      </c>
      <c r="C454" s="2" t="str">
        <f t="shared" si="49"/>
        <v>Mar</v>
      </c>
      <c r="D454" s="2" t="str">
        <f t="shared" si="50"/>
        <v>Off-Peak</v>
      </c>
      <c r="E454" s="2" t="str">
        <f t="shared" si="51"/>
        <v>Sat</v>
      </c>
      <c r="F454" s="8">
        <v>107</v>
      </c>
      <c r="G454" s="8">
        <v>125</v>
      </c>
      <c r="H454" s="9">
        <v>27810</v>
      </c>
      <c r="I454" s="10">
        <v>227</v>
      </c>
      <c r="J454" s="11">
        <f t="shared" si="52"/>
        <v>0.85599999999999998</v>
      </c>
      <c r="K454" s="10">
        <f t="shared" si="53"/>
        <v>259.90654205607478</v>
      </c>
      <c r="L454" s="10">
        <f t="shared" si="54"/>
        <v>222.48</v>
      </c>
      <c r="M454" s="5">
        <f t="shared" si="55"/>
        <v>32.906542056074784</v>
      </c>
      <c r="N454" s="1"/>
    </row>
    <row r="455" spans="1:14" x14ac:dyDescent="0.35">
      <c r="A455" s="6">
        <v>45746</v>
      </c>
      <c r="B455" s="7" t="s">
        <v>56</v>
      </c>
      <c r="C455" s="2" t="str">
        <f t="shared" si="49"/>
        <v>Mar</v>
      </c>
      <c r="D455" s="2" t="str">
        <f t="shared" si="50"/>
        <v>Off-Peak</v>
      </c>
      <c r="E455" s="2" t="str">
        <f t="shared" si="51"/>
        <v>Sun</v>
      </c>
      <c r="F455" s="8">
        <v>88</v>
      </c>
      <c r="G455" s="8">
        <v>125</v>
      </c>
      <c r="H455" s="9">
        <v>29025</v>
      </c>
      <c r="I455" s="10">
        <v>188</v>
      </c>
      <c r="J455" s="11">
        <f t="shared" si="52"/>
        <v>0.70399999999999996</v>
      </c>
      <c r="K455" s="10">
        <f t="shared" si="53"/>
        <v>329.82954545454544</v>
      </c>
      <c r="L455" s="10">
        <f t="shared" si="54"/>
        <v>232.2</v>
      </c>
      <c r="M455" s="5">
        <f t="shared" si="55"/>
        <v>141.82954545454544</v>
      </c>
      <c r="N455" s="1"/>
    </row>
    <row r="456" spans="1:14" x14ac:dyDescent="0.35">
      <c r="A456" s="6">
        <v>45747</v>
      </c>
      <c r="B456" s="7" t="s">
        <v>56</v>
      </c>
      <c r="C456" s="2" t="str">
        <f t="shared" si="49"/>
        <v>Mar</v>
      </c>
      <c r="D456" s="2" t="str">
        <f t="shared" si="50"/>
        <v>Off-Peak</v>
      </c>
      <c r="E456" s="2" t="str">
        <f t="shared" si="51"/>
        <v>Mon</v>
      </c>
      <c r="F456" s="8">
        <v>92</v>
      </c>
      <c r="G456" s="8">
        <v>125</v>
      </c>
      <c r="H456" s="9">
        <v>18521</v>
      </c>
      <c r="I456" s="10">
        <v>247</v>
      </c>
      <c r="J456" s="11">
        <f t="shared" si="52"/>
        <v>0.73599999999999999</v>
      </c>
      <c r="K456" s="10">
        <f t="shared" si="53"/>
        <v>201.31521739130434</v>
      </c>
      <c r="L456" s="10">
        <f t="shared" si="54"/>
        <v>148.16800000000001</v>
      </c>
      <c r="M456" s="5">
        <f t="shared" si="55"/>
        <v>-45.684782608695656</v>
      </c>
      <c r="N456" s="1"/>
    </row>
    <row r="457" spans="1:14" x14ac:dyDescent="0.35">
      <c r="A457" s="6">
        <v>45748</v>
      </c>
      <c r="B457" s="7" t="s">
        <v>56</v>
      </c>
      <c r="C457" s="2" t="str">
        <f t="shared" si="49"/>
        <v>Apr</v>
      </c>
      <c r="D457" s="2" t="str">
        <f t="shared" si="50"/>
        <v>Off-Peak</v>
      </c>
      <c r="E457" s="2" t="str">
        <f t="shared" si="51"/>
        <v>Tue</v>
      </c>
      <c r="F457" s="8">
        <v>111</v>
      </c>
      <c r="G457" s="8">
        <v>125</v>
      </c>
      <c r="H457" s="9">
        <v>26679</v>
      </c>
      <c r="I457" s="10">
        <v>232</v>
      </c>
      <c r="J457" s="11">
        <f t="shared" si="52"/>
        <v>0.88800000000000001</v>
      </c>
      <c r="K457" s="10">
        <f t="shared" si="53"/>
        <v>240.35135135135135</v>
      </c>
      <c r="L457" s="10">
        <f t="shared" si="54"/>
        <v>213.43199999999999</v>
      </c>
      <c r="M457" s="5">
        <f t="shared" si="55"/>
        <v>8.3513513513513544</v>
      </c>
      <c r="N457" s="1"/>
    </row>
    <row r="458" spans="1:14" x14ac:dyDescent="0.35">
      <c r="A458" s="6">
        <v>45749</v>
      </c>
      <c r="B458" s="7" t="s">
        <v>56</v>
      </c>
      <c r="C458" s="2" t="str">
        <f t="shared" si="49"/>
        <v>Apr</v>
      </c>
      <c r="D458" s="2" t="str">
        <f t="shared" si="50"/>
        <v>Off-Peak</v>
      </c>
      <c r="E458" s="2" t="str">
        <f t="shared" si="51"/>
        <v>Wed</v>
      </c>
      <c r="F458" s="8">
        <v>105</v>
      </c>
      <c r="G458" s="8">
        <v>125</v>
      </c>
      <c r="H458" s="9">
        <v>14998</v>
      </c>
      <c r="I458" s="10">
        <v>123</v>
      </c>
      <c r="J458" s="11">
        <f t="shared" si="52"/>
        <v>0.84</v>
      </c>
      <c r="K458" s="10">
        <f t="shared" si="53"/>
        <v>142.83809523809524</v>
      </c>
      <c r="L458" s="10">
        <f t="shared" si="54"/>
        <v>119.98399999999999</v>
      </c>
      <c r="M458" s="5">
        <f t="shared" si="55"/>
        <v>19.838095238095235</v>
      </c>
      <c r="N458" s="1"/>
    </row>
    <row r="459" spans="1:14" x14ac:dyDescent="0.35">
      <c r="A459" s="6">
        <v>45750</v>
      </c>
      <c r="B459" s="7" t="s">
        <v>56</v>
      </c>
      <c r="C459" s="2" t="str">
        <f t="shared" si="49"/>
        <v>Apr</v>
      </c>
      <c r="D459" s="2" t="str">
        <f t="shared" si="50"/>
        <v>Off-Peak</v>
      </c>
      <c r="E459" s="2" t="str">
        <f t="shared" si="51"/>
        <v>Thu</v>
      </c>
      <c r="F459" s="8">
        <v>90</v>
      </c>
      <c r="G459" s="8">
        <v>125</v>
      </c>
      <c r="H459" s="9">
        <v>13394</v>
      </c>
      <c r="I459" s="10">
        <v>134</v>
      </c>
      <c r="J459" s="11">
        <f t="shared" si="52"/>
        <v>0.72</v>
      </c>
      <c r="K459" s="10">
        <f t="shared" si="53"/>
        <v>148.82222222222222</v>
      </c>
      <c r="L459" s="10">
        <f t="shared" si="54"/>
        <v>107.152</v>
      </c>
      <c r="M459" s="5">
        <f t="shared" si="55"/>
        <v>14.822222222222223</v>
      </c>
      <c r="N459" s="1"/>
    </row>
    <row r="460" spans="1:14" x14ac:dyDescent="0.35">
      <c r="A460" s="6">
        <v>45751</v>
      </c>
      <c r="B460" s="7" t="s">
        <v>56</v>
      </c>
      <c r="C460" s="2" t="str">
        <f t="shared" si="49"/>
        <v>Apr</v>
      </c>
      <c r="D460" s="2" t="str">
        <f t="shared" si="50"/>
        <v>Off-Peak</v>
      </c>
      <c r="E460" s="2" t="str">
        <f t="shared" si="51"/>
        <v>Fri</v>
      </c>
      <c r="F460" s="8">
        <v>110</v>
      </c>
      <c r="G460" s="8">
        <v>125</v>
      </c>
      <c r="H460" s="9">
        <v>16224</v>
      </c>
      <c r="I460" s="10">
        <v>146</v>
      </c>
      <c r="J460" s="11">
        <f t="shared" si="52"/>
        <v>0.88</v>
      </c>
      <c r="K460" s="10">
        <f t="shared" si="53"/>
        <v>147.4909090909091</v>
      </c>
      <c r="L460" s="10">
        <f t="shared" si="54"/>
        <v>129.792</v>
      </c>
      <c r="M460" s="5">
        <f t="shared" si="55"/>
        <v>1.4909090909090992</v>
      </c>
      <c r="N460" s="1"/>
    </row>
    <row r="461" spans="1:14" x14ac:dyDescent="0.35">
      <c r="A461" s="6">
        <v>45752</v>
      </c>
      <c r="B461" s="7" t="s">
        <v>56</v>
      </c>
      <c r="C461" s="2" t="str">
        <f t="shared" si="49"/>
        <v>Apr</v>
      </c>
      <c r="D461" s="2" t="str">
        <f t="shared" si="50"/>
        <v>Off-Peak</v>
      </c>
      <c r="E461" s="2" t="str">
        <f t="shared" si="51"/>
        <v>Sat</v>
      </c>
      <c r="F461" s="8">
        <v>111</v>
      </c>
      <c r="G461" s="8">
        <v>125</v>
      </c>
      <c r="H461" s="9">
        <v>29302</v>
      </c>
      <c r="I461" s="10">
        <v>222</v>
      </c>
      <c r="J461" s="11">
        <f t="shared" si="52"/>
        <v>0.88800000000000001</v>
      </c>
      <c r="K461" s="10">
        <f t="shared" si="53"/>
        <v>263.98198198198196</v>
      </c>
      <c r="L461" s="10">
        <f t="shared" si="54"/>
        <v>234.416</v>
      </c>
      <c r="M461" s="5">
        <f t="shared" si="55"/>
        <v>41.98198198198196</v>
      </c>
      <c r="N461" s="1"/>
    </row>
    <row r="462" spans="1:14" x14ac:dyDescent="0.35">
      <c r="A462" s="6">
        <v>45753</v>
      </c>
      <c r="B462" s="7" t="s">
        <v>56</v>
      </c>
      <c r="C462" s="2" t="str">
        <f t="shared" si="49"/>
        <v>Apr</v>
      </c>
      <c r="D462" s="2" t="str">
        <f t="shared" si="50"/>
        <v>Off-Peak</v>
      </c>
      <c r="E462" s="2" t="str">
        <f t="shared" si="51"/>
        <v>Sun</v>
      </c>
      <c r="F462" s="8">
        <v>90</v>
      </c>
      <c r="G462" s="8">
        <v>125</v>
      </c>
      <c r="H462" s="9">
        <v>13636</v>
      </c>
      <c r="I462" s="10">
        <v>195</v>
      </c>
      <c r="J462" s="11">
        <f t="shared" si="52"/>
        <v>0.72</v>
      </c>
      <c r="K462" s="10">
        <f t="shared" si="53"/>
        <v>151.51111111111112</v>
      </c>
      <c r="L462" s="10">
        <f t="shared" si="54"/>
        <v>109.08799999999999</v>
      </c>
      <c r="M462" s="5">
        <f t="shared" si="55"/>
        <v>-43.48888888888888</v>
      </c>
      <c r="N462" s="1"/>
    </row>
    <row r="463" spans="1:14" x14ac:dyDescent="0.35">
      <c r="A463" s="6">
        <v>45754</v>
      </c>
      <c r="B463" s="7" t="s">
        <v>56</v>
      </c>
      <c r="C463" s="2" t="str">
        <f t="shared" si="49"/>
        <v>Apr</v>
      </c>
      <c r="D463" s="2" t="str">
        <f t="shared" si="50"/>
        <v>Off-Peak</v>
      </c>
      <c r="E463" s="2" t="str">
        <f t="shared" si="51"/>
        <v>Mon</v>
      </c>
      <c r="F463" s="8">
        <v>97</v>
      </c>
      <c r="G463" s="8">
        <v>125</v>
      </c>
      <c r="H463" s="9">
        <v>13757</v>
      </c>
      <c r="I463" s="10">
        <v>146</v>
      </c>
      <c r="J463" s="11">
        <f t="shared" si="52"/>
        <v>0.77600000000000002</v>
      </c>
      <c r="K463" s="10">
        <f t="shared" si="53"/>
        <v>141.82474226804123</v>
      </c>
      <c r="L463" s="10">
        <f t="shared" si="54"/>
        <v>110.056</v>
      </c>
      <c r="M463" s="5">
        <f t="shared" si="55"/>
        <v>-4.1752577319587658</v>
      </c>
      <c r="N463" s="1"/>
    </row>
    <row r="464" spans="1:14" x14ac:dyDescent="0.35">
      <c r="A464" s="6">
        <v>45755</v>
      </c>
      <c r="B464" s="7" t="s">
        <v>56</v>
      </c>
      <c r="C464" s="2" t="str">
        <f t="shared" si="49"/>
        <v>Apr</v>
      </c>
      <c r="D464" s="2" t="str">
        <f t="shared" si="50"/>
        <v>Off-Peak</v>
      </c>
      <c r="E464" s="2" t="str">
        <f t="shared" si="51"/>
        <v>Tue</v>
      </c>
      <c r="F464" s="8">
        <v>89</v>
      </c>
      <c r="G464" s="8">
        <v>125</v>
      </c>
      <c r="H464" s="9">
        <v>18956</v>
      </c>
      <c r="I464" s="10">
        <v>208</v>
      </c>
      <c r="J464" s="11">
        <f t="shared" si="52"/>
        <v>0.71199999999999997</v>
      </c>
      <c r="K464" s="10">
        <f t="shared" si="53"/>
        <v>212.98876404494382</v>
      </c>
      <c r="L464" s="10">
        <f t="shared" si="54"/>
        <v>151.648</v>
      </c>
      <c r="M464" s="5">
        <f t="shared" si="55"/>
        <v>4.9887640449438209</v>
      </c>
      <c r="N464" s="1"/>
    </row>
    <row r="465" spans="1:14" x14ac:dyDescent="0.35">
      <c r="A465" s="6">
        <v>45756</v>
      </c>
      <c r="B465" s="7" t="s">
        <v>56</v>
      </c>
      <c r="C465" s="2" t="str">
        <f t="shared" si="49"/>
        <v>Apr</v>
      </c>
      <c r="D465" s="2" t="str">
        <f t="shared" si="50"/>
        <v>Off-Peak</v>
      </c>
      <c r="E465" s="2" t="str">
        <f t="shared" si="51"/>
        <v>Wed</v>
      </c>
      <c r="F465" s="8">
        <v>108</v>
      </c>
      <c r="G465" s="8">
        <v>125</v>
      </c>
      <c r="H465" s="9">
        <v>28290</v>
      </c>
      <c r="I465" s="10">
        <v>147</v>
      </c>
      <c r="J465" s="11">
        <f t="shared" si="52"/>
        <v>0.86399999999999999</v>
      </c>
      <c r="K465" s="10">
        <f t="shared" si="53"/>
        <v>261.94444444444446</v>
      </c>
      <c r="L465" s="10">
        <f t="shared" si="54"/>
        <v>226.32</v>
      </c>
      <c r="M465" s="5">
        <f t="shared" si="55"/>
        <v>114.94444444444446</v>
      </c>
      <c r="N465" s="1"/>
    </row>
    <row r="466" spans="1:14" x14ac:dyDescent="0.35">
      <c r="A466" s="6">
        <v>45757</v>
      </c>
      <c r="B466" s="7" t="s">
        <v>56</v>
      </c>
      <c r="C466" s="2" t="str">
        <f t="shared" si="49"/>
        <v>Apr</v>
      </c>
      <c r="D466" s="2" t="str">
        <f t="shared" si="50"/>
        <v>Off-Peak</v>
      </c>
      <c r="E466" s="2" t="str">
        <f t="shared" si="51"/>
        <v>Thu</v>
      </c>
      <c r="F466" s="8">
        <v>102</v>
      </c>
      <c r="G466" s="8">
        <v>125</v>
      </c>
      <c r="H466" s="9">
        <v>19186</v>
      </c>
      <c r="I466" s="10">
        <v>130</v>
      </c>
      <c r="J466" s="11">
        <f t="shared" si="52"/>
        <v>0.81599999999999995</v>
      </c>
      <c r="K466" s="10">
        <f t="shared" si="53"/>
        <v>188.09803921568627</v>
      </c>
      <c r="L466" s="10">
        <f t="shared" si="54"/>
        <v>153.488</v>
      </c>
      <c r="M466" s="5">
        <f t="shared" si="55"/>
        <v>58.098039215686271</v>
      </c>
      <c r="N466" s="1"/>
    </row>
    <row r="467" spans="1:14" x14ac:dyDescent="0.35">
      <c r="A467" s="6">
        <v>45758</v>
      </c>
      <c r="B467" s="7" t="s">
        <v>56</v>
      </c>
      <c r="C467" s="2" t="str">
        <f t="shared" si="49"/>
        <v>Apr</v>
      </c>
      <c r="D467" s="2" t="str">
        <f t="shared" si="50"/>
        <v>Off-Peak</v>
      </c>
      <c r="E467" s="2" t="str">
        <f t="shared" si="51"/>
        <v>Fri</v>
      </c>
      <c r="F467" s="8">
        <v>98</v>
      </c>
      <c r="G467" s="8">
        <v>125</v>
      </c>
      <c r="H467" s="9">
        <v>18820</v>
      </c>
      <c r="I467" s="10">
        <v>199</v>
      </c>
      <c r="J467" s="11">
        <f t="shared" si="52"/>
        <v>0.78400000000000003</v>
      </c>
      <c r="K467" s="10">
        <f t="shared" si="53"/>
        <v>192.0408163265306</v>
      </c>
      <c r="L467" s="10">
        <f t="shared" si="54"/>
        <v>150.56</v>
      </c>
      <c r="M467" s="5">
        <f t="shared" si="55"/>
        <v>-6.959183673469397</v>
      </c>
      <c r="N467" s="1"/>
    </row>
    <row r="468" spans="1:14" x14ac:dyDescent="0.35">
      <c r="A468" s="6">
        <v>45759</v>
      </c>
      <c r="B468" s="7" t="s">
        <v>56</v>
      </c>
      <c r="C468" s="2" t="str">
        <f t="shared" si="49"/>
        <v>Apr</v>
      </c>
      <c r="D468" s="2" t="str">
        <f t="shared" si="50"/>
        <v>Off-Peak</v>
      </c>
      <c r="E468" s="2" t="str">
        <f t="shared" si="51"/>
        <v>Sat</v>
      </c>
      <c r="F468" s="8">
        <v>104</v>
      </c>
      <c r="G468" s="8">
        <v>125</v>
      </c>
      <c r="H468" s="9">
        <v>21222</v>
      </c>
      <c r="I468" s="10">
        <v>141</v>
      </c>
      <c r="J468" s="11">
        <f t="shared" si="52"/>
        <v>0.83199999999999996</v>
      </c>
      <c r="K468" s="10">
        <f t="shared" si="53"/>
        <v>204.05769230769232</v>
      </c>
      <c r="L468" s="10">
        <f t="shared" si="54"/>
        <v>169.77600000000001</v>
      </c>
      <c r="M468" s="5">
        <f t="shared" si="55"/>
        <v>63.057692307692321</v>
      </c>
      <c r="N468" s="1"/>
    </row>
    <row r="469" spans="1:14" x14ac:dyDescent="0.35">
      <c r="A469" s="6">
        <v>45760</v>
      </c>
      <c r="B469" s="7" t="s">
        <v>56</v>
      </c>
      <c r="C469" s="2" t="str">
        <f t="shared" si="49"/>
        <v>Apr</v>
      </c>
      <c r="D469" s="2" t="str">
        <f t="shared" si="50"/>
        <v>Off-Peak</v>
      </c>
      <c r="E469" s="2" t="str">
        <f t="shared" si="51"/>
        <v>Sun</v>
      </c>
      <c r="F469" s="8">
        <v>115</v>
      </c>
      <c r="G469" s="8">
        <v>125</v>
      </c>
      <c r="H469" s="9">
        <v>14717</v>
      </c>
      <c r="I469" s="10">
        <v>162</v>
      </c>
      <c r="J469" s="11">
        <f t="shared" si="52"/>
        <v>0.92</v>
      </c>
      <c r="K469" s="10">
        <f t="shared" si="53"/>
        <v>127.97391304347826</v>
      </c>
      <c r="L469" s="10">
        <f t="shared" si="54"/>
        <v>117.736</v>
      </c>
      <c r="M469" s="5">
        <f t="shared" si="55"/>
        <v>-34.026086956521738</v>
      </c>
      <c r="N469" s="1"/>
    </row>
    <row r="470" spans="1:14" x14ac:dyDescent="0.35">
      <c r="A470" s="6">
        <v>45761</v>
      </c>
      <c r="B470" s="7" t="s">
        <v>56</v>
      </c>
      <c r="C470" s="2" t="str">
        <f t="shared" si="49"/>
        <v>Apr</v>
      </c>
      <c r="D470" s="2" t="str">
        <f t="shared" si="50"/>
        <v>Off-Peak</v>
      </c>
      <c r="E470" s="2" t="str">
        <f t="shared" si="51"/>
        <v>Mon</v>
      </c>
      <c r="F470" s="8">
        <v>105</v>
      </c>
      <c r="G470" s="8">
        <v>125</v>
      </c>
      <c r="H470" s="9">
        <v>28856</v>
      </c>
      <c r="I470" s="10">
        <v>148</v>
      </c>
      <c r="J470" s="11">
        <f t="shared" si="52"/>
        <v>0.84</v>
      </c>
      <c r="K470" s="10">
        <f t="shared" si="53"/>
        <v>274.81904761904764</v>
      </c>
      <c r="L470" s="10">
        <f t="shared" si="54"/>
        <v>230.84800000000001</v>
      </c>
      <c r="M470" s="5">
        <f t="shared" si="55"/>
        <v>126.81904761904764</v>
      </c>
      <c r="N470" s="1"/>
    </row>
    <row r="471" spans="1:14" x14ac:dyDescent="0.35">
      <c r="A471" s="6">
        <v>45762</v>
      </c>
      <c r="B471" s="7" t="s">
        <v>56</v>
      </c>
      <c r="C471" s="2" t="str">
        <f t="shared" si="49"/>
        <v>Apr</v>
      </c>
      <c r="D471" s="2" t="str">
        <f t="shared" si="50"/>
        <v>Off-Peak</v>
      </c>
      <c r="E471" s="2" t="str">
        <f t="shared" si="51"/>
        <v>Tue</v>
      </c>
      <c r="F471" s="8">
        <v>97</v>
      </c>
      <c r="G471" s="8">
        <v>125</v>
      </c>
      <c r="H471" s="9">
        <v>29700</v>
      </c>
      <c r="I471" s="10">
        <v>125</v>
      </c>
      <c r="J471" s="11">
        <f t="shared" si="52"/>
        <v>0.77600000000000002</v>
      </c>
      <c r="K471" s="10">
        <f t="shared" si="53"/>
        <v>306.18556701030928</v>
      </c>
      <c r="L471" s="10">
        <f t="shared" si="54"/>
        <v>237.6</v>
      </c>
      <c r="M471" s="5">
        <f t="shared" si="55"/>
        <v>181.18556701030928</v>
      </c>
      <c r="N471" s="1"/>
    </row>
    <row r="472" spans="1:14" x14ac:dyDescent="0.35">
      <c r="A472" s="6">
        <v>45763</v>
      </c>
      <c r="B472" s="7" t="s">
        <v>56</v>
      </c>
      <c r="C472" s="2" t="str">
        <f t="shared" si="49"/>
        <v>Apr</v>
      </c>
      <c r="D472" s="2" t="str">
        <f t="shared" si="50"/>
        <v>Off-Peak</v>
      </c>
      <c r="E472" s="2" t="str">
        <f t="shared" si="51"/>
        <v>Wed</v>
      </c>
      <c r="F472" s="8">
        <v>114</v>
      </c>
      <c r="G472" s="8">
        <v>125</v>
      </c>
      <c r="H472" s="9">
        <v>18964</v>
      </c>
      <c r="I472" s="10">
        <v>245</v>
      </c>
      <c r="J472" s="11">
        <f t="shared" si="52"/>
        <v>0.91200000000000003</v>
      </c>
      <c r="K472" s="10">
        <f t="shared" si="53"/>
        <v>166.35087719298247</v>
      </c>
      <c r="L472" s="10">
        <f t="shared" si="54"/>
        <v>151.71199999999999</v>
      </c>
      <c r="M472" s="5">
        <f t="shared" si="55"/>
        <v>-78.649122807017534</v>
      </c>
      <c r="N472" s="1"/>
    </row>
    <row r="473" spans="1:14" x14ac:dyDescent="0.35">
      <c r="A473" s="6">
        <v>45764</v>
      </c>
      <c r="B473" s="7" t="s">
        <v>56</v>
      </c>
      <c r="C473" s="2" t="str">
        <f t="shared" si="49"/>
        <v>Apr</v>
      </c>
      <c r="D473" s="2" t="str">
        <f t="shared" si="50"/>
        <v>Off-Peak</v>
      </c>
      <c r="E473" s="2" t="str">
        <f t="shared" si="51"/>
        <v>Thu</v>
      </c>
      <c r="F473" s="8">
        <v>103</v>
      </c>
      <c r="G473" s="8">
        <v>125</v>
      </c>
      <c r="H473" s="9">
        <v>23743</v>
      </c>
      <c r="I473" s="10">
        <v>212</v>
      </c>
      <c r="J473" s="11">
        <f t="shared" si="52"/>
        <v>0.82399999999999995</v>
      </c>
      <c r="K473" s="10">
        <f t="shared" si="53"/>
        <v>230.51456310679612</v>
      </c>
      <c r="L473" s="10">
        <f t="shared" si="54"/>
        <v>189.94399999999999</v>
      </c>
      <c r="M473" s="5">
        <f t="shared" si="55"/>
        <v>18.514563106796118</v>
      </c>
      <c r="N473" s="1"/>
    </row>
    <row r="474" spans="1:14" x14ac:dyDescent="0.35">
      <c r="A474" s="6">
        <v>45765</v>
      </c>
      <c r="B474" s="7" t="s">
        <v>56</v>
      </c>
      <c r="C474" s="2" t="str">
        <f t="shared" si="49"/>
        <v>Apr</v>
      </c>
      <c r="D474" s="2" t="str">
        <f t="shared" si="50"/>
        <v>Off-Peak</v>
      </c>
      <c r="E474" s="2" t="str">
        <f t="shared" si="51"/>
        <v>Fri</v>
      </c>
      <c r="F474" s="8">
        <v>119</v>
      </c>
      <c r="G474" s="8">
        <v>125</v>
      </c>
      <c r="H474" s="9">
        <v>24247</v>
      </c>
      <c r="I474" s="10">
        <v>140</v>
      </c>
      <c r="J474" s="11">
        <f t="shared" si="52"/>
        <v>0.95199999999999996</v>
      </c>
      <c r="K474" s="10">
        <f t="shared" si="53"/>
        <v>203.75630252100839</v>
      </c>
      <c r="L474" s="10">
        <f t="shared" si="54"/>
        <v>193.976</v>
      </c>
      <c r="M474" s="5">
        <f t="shared" si="55"/>
        <v>63.756302521008394</v>
      </c>
      <c r="N474" s="1"/>
    </row>
    <row r="475" spans="1:14" x14ac:dyDescent="0.35">
      <c r="A475" s="6">
        <v>45766</v>
      </c>
      <c r="B475" s="7" t="s">
        <v>56</v>
      </c>
      <c r="C475" s="2" t="str">
        <f t="shared" si="49"/>
        <v>Apr</v>
      </c>
      <c r="D475" s="2" t="str">
        <f t="shared" si="50"/>
        <v>Off-Peak</v>
      </c>
      <c r="E475" s="2" t="str">
        <f t="shared" si="51"/>
        <v>Sat</v>
      </c>
      <c r="F475" s="8">
        <v>105</v>
      </c>
      <c r="G475" s="8">
        <v>125</v>
      </c>
      <c r="H475" s="9">
        <v>12538</v>
      </c>
      <c r="I475" s="10">
        <v>142</v>
      </c>
      <c r="J475" s="11">
        <f t="shared" si="52"/>
        <v>0.84</v>
      </c>
      <c r="K475" s="10">
        <f t="shared" si="53"/>
        <v>119.4095238095238</v>
      </c>
      <c r="L475" s="10">
        <f t="shared" si="54"/>
        <v>100.304</v>
      </c>
      <c r="M475" s="5">
        <f t="shared" si="55"/>
        <v>-22.590476190476195</v>
      </c>
      <c r="N475" s="1"/>
    </row>
    <row r="476" spans="1:14" x14ac:dyDescent="0.35">
      <c r="A476" s="6">
        <v>45767</v>
      </c>
      <c r="B476" s="7" t="s">
        <v>56</v>
      </c>
      <c r="C476" s="2" t="str">
        <f t="shared" si="49"/>
        <v>Apr</v>
      </c>
      <c r="D476" s="2" t="str">
        <f t="shared" si="50"/>
        <v>Off-Peak</v>
      </c>
      <c r="E476" s="2" t="str">
        <f t="shared" si="51"/>
        <v>Sun</v>
      </c>
      <c r="F476" s="8">
        <v>108</v>
      </c>
      <c r="G476" s="8">
        <v>125</v>
      </c>
      <c r="H476" s="9">
        <v>24547</v>
      </c>
      <c r="I476" s="10">
        <v>126</v>
      </c>
      <c r="J476" s="11">
        <f t="shared" si="52"/>
        <v>0.86399999999999999</v>
      </c>
      <c r="K476" s="10">
        <f t="shared" si="53"/>
        <v>227.28703703703704</v>
      </c>
      <c r="L476" s="10">
        <f t="shared" si="54"/>
        <v>196.376</v>
      </c>
      <c r="M476" s="5">
        <f t="shared" si="55"/>
        <v>101.28703703703704</v>
      </c>
      <c r="N476" s="1"/>
    </row>
    <row r="477" spans="1:14" x14ac:dyDescent="0.35">
      <c r="A477" s="6">
        <v>45768</v>
      </c>
      <c r="B477" s="7" t="s">
        <v>56</v>
      </c>
      <c r="C477" s="2" t="str">
        <f t="shared" si="49"/>
        <v>Apr</v>
      </c>
      <c r="D477" s="2" t="str">
        <f t="shared" si="50"/>
        <v>Off-Peak</v>
      </c>
      <c r="E477" s="2" t="str">
        <f t="shared" si="51"/>
        <v>Mon</v>
      </c>
      <c r="F477" s="8">
        <v>89</v>
      </c>
      <c r="G477" s="8">
        <v>125</v>
      </c>
      <c r="H477" s="9">
        <v>16587</v>
      </c>
      <c r="I477" s="10">
        <v>244</v>
      </c>
      <c r="J477" s="11">
        <f t="shared" si="52"/>
        <v>0.71199999999999997</v>
      </c>
      <c r="K477" s="10">
        <f t="shared" si="53"/>
        <v>186.37078651685394</v>
      </c>
      <c r="L477" s="10">
        <f t="shared" si="54"/>
        <v>132.696</v>
      </c>
      <c r="M477" s="5">
        <f t="shared" si="55"/>
        <v>-57.62921348314606</v>
      </c>
      <c r="N477" s="1"/>
    </row>
    <row r="478" spans="1:14" x14ac:dyDescent="0.35">
      <c r="A478" s="6">
        <v>45769</v>
      </c>
      <c r="B478" s="7" t="s">
        <v>56</v>
      </c>
      <c r="C478" s="2" t="str">
        <f t="shared" si="49"/>
        <v>Apr</v>
      </c>
      <c r="D478" s="2" t="str">
        <f t="shared" si="50"/>
        <v>Off-Peak</v>
      </c>
      <c r="E478" s="2" t="str">
        <f t="shared" si="51"/>
        <v>Tue</v>
      </c>
      <c r="F478" s="8">
        <v>108</v>
      </c>
      <c r="G478" s="8">
        <v>125</v>
      </c>
      <c r="H478" s="9">
        <v>19955</v>
      </c>
      <c r="I478" s="10">
        <v>211</v>
      </c>
      <c r="J478" s="11">
        <f t="shared" si="52"/>
        <v>0.86399999999999999</v>
      </c>
      <c r="K478" s="10">
        <f t="shared" si="53"/>
        <v>184.7685185185185</v>
      </c>
      <c r="L478" s="10">
        <f t="shared" si="54"/>
        <v>159.63999999999999</v>
      </c>
      <c r="M478" s="5">
        <f t="shared" si="55"/>
        <v>-26.231481481481495</v>
      </c>
      <c r="N478" s="1"/>
    </row>
    <row r="479" spans="1:14" x14ac:dyDescent="0.35">
      <c r="A479" s="6">
        <v>45770</v>
      </c>
      <c r="B479" s="7" t="s">
        <v>56</v>
      </c>
      <c r="C479" s="2" t="str">
        <f t="shared" si="49"/>
        <v>Apr</v>
      </c>
      <c r="D479" s="2" t="str">
        <f t="shared" si="50"/>
        <v>Off-Peak</v>
      </c>
      <c r="E479" s="2" t="str">
        <f t="shared" si="51"/>
        <v>Wed</v>
      </c>
      <c r="F479" s="8">
        <v>119</v>
      </c>
      <c r="G479" s="8">
        <v>125</v>
      </c>
      <c r="H479" s="9">
        <v>23282</v>
      </c>
      <c r="I479" s="10">
        <v>209</v>
      </c>
      <c r="J479" s="11">
        <f t="shared" si="52"/>
        <v>0.95199999999999996</v>
      </c>
      <c r="K479" s="10">
        <f t="shared" si="53"/>
        <v>195.64705882352942</v>
      </c>
      <c r="L479" s="10">
        <f t="shared" si="54"/>
        <v>186.256</v>
      </c>
      <c r="M479" s="5">
        <f t="shared" si="55"/>
        <v>-13.35294117647058</v>
      </c>
      <c r="N479" s="1"/>
    </row>
    <row r="480" spans="1:14" x14ac:dyDescent="0.35">
      <c r="A480" s="6">
        <v>45771</v>
      </c>
      <c r="B480" s="7" t="s">
        <v>56</v>
      </c>
      <c r="C480" s="2" t="str">
        <f t="shared" si="49"/>
        <v>Apr</v>
      </c>
      <c r="D480" s="2" t="str">
        <f t="shared" si="50"/>
        <v>Off-Peak</v>
      </c>
      <c r="E480" s="2" t="str">
        <f t="shared" si="51"/>
        <v>Thu</v>
      </c>
      <c r="F480" s="8">
        <v>115</v>
      </c>
      <c r="G480" s="8">
        <v>125</v>
      </c>
      <c r="H480" s="9">
        <v>11286</v>
      </c>
      <c r="I480" s="10">
        <v>234</v>
      </c>
      <c r="J480" s="11">
        <f t="shared" si="52"/>
        <v>0.92</v>
      </c>
      <c r="K480" s="10">
        <f t="shared" si="53"/>
        <v>98.139130434782615</v>
      </c>
      <c r="L480" s="10">
        <f t="shared" si="54"/>
        <v>90.287999999999997</v>
      </c>
      <c r="M480" s="5">
        <f t="shared" si="55"/>
        <v>-135.8608695652174</v>
      </c>
      <c r="N480" s="1"/>
    </row>
    <row r="481" spans="1:14" x14ac:dyDescent="0.35">
      <c r="A481" s="6">
        <v>45772</v>
      </c>
      <c r="B481" s="7" t="s">
        <v>56</v>
      </c>
      <c r="C481" s="2" t="str">
        <f t="shared" si="49"/>
        <v>Apr</v>
      </c>
      <c r="D481" s="2" t="str">
        <f t="shared" si="50"/>
        <v>Off-Peak</v>
      </c>
      <c r="E481" s="2" t="str">
        <f t="shared" si="51"/>
        <v>Fri</v>
      </c>
      <c r="F481" s="8">
        <v>87</v>
      </c>
      <c r="G481" s="8">
        <v>125</v>
      </c>
      <c r="H481" s="9">
        <v>12849</v>
      </c>
      <c r="I481" s="10">
        <v>183</v>
      </c>
      <c r="J481" s="11">
        <f t="shared" si="52"/>
        <v>0.69599999999999995</v>
      </c>
      <c r="K481" s="10">
        <f t="shared" si="53"/>
        <v>147.68965517241378</v>
      </c>
      <c r="L481" s="10">
        <f t="shared" si="54"/>
        <v>102.792</v>
      </c>
      <c r="M481" s="5">
        <f t="shared" si="55"/>
        <v>-35.310344827586221</v>
      </c>
      <c r="N481" s="1"/>
    </row>
    <row r="482" spans="1:14" x14ac:dyDescent="0.35">
      <c r="A482" s="6">
        <v>45773</v>
      </c>
      <c r="B482" s="7" t="s">
        <v>56</v>
      </c>
      <c r="C482" s="2" t="str">
        <f t="shared" si="49"/>
        <v>Apr</v>
      </c>
      <c r="D482" s="2" t="str">
        <f t="shared" si="50"/>
        <v>Off-Peak</v>
      </c>
      <c r="E482" s="2" t="str">
        <f t="shared" si="51"/>
        <v>Sat</v>
      </c>
      <c r="F482" s="8">
        <v>116</v>
      </c>
      <c r="G482" s="8">
        <v>125</v>
      </c>
      <c r="H482" s="9">
        <v>15236</v>
      </c>
      <c r="I482" s="10">
        <v>248</v>
      </c>
      <c r="J482" s="11">
        <f t="shared" si="52"/>
        <v>0.92800000000000005</v>
      </c>
      <c r="K482" s="10">
        <f t="shared" si="53"/>
        <v>131.34482758620689</v>
      </c>
      <c r="L482" s="10">
        <f t="shared" si="54"/>
        <v>121.88800000000001</v>
      </c>
      <c r="M482" s="5">
        <f t="shared" si="55"/>
        <v>-116.65517241379311</v>
      </c>
      <c r="N482" s="1"/>
    </row>
    <row r="483" spans="1:14" x14ac:dyDescent="0.35">
      <c r="A483" s="6">
        <v>45774</v>
      </c>
      <c r="B483" s="7" t="s">
        <v>56</v>
      </c>
      <c r="C483" s="2" t="str">
        <f t="shared" si="49"/>
        <v>Apr</v>
      </c>
      <c r="D483" s="2" t="str">
        <f t="shared" si="50"/>
        <v>Off-Peak</v>
      </c>
      <c r="E483" s="2" t="str">
        <f t="shared" si="51"/>
        <v>Sun</v>
      </c>
      <c r="F483" s="8">
        <v>89</v>
      </c>
      <c r="G483" s="8">
        <v>125</v>
      </c>
      <c r="H483" s="9">
        <v>12307</v>
      </c>
      <c r="I483" s="10">
        <v>121</v>
      </c>
      <c r="J483" s="11">
        <f t="shared" si="52"/>
        <v>0.71199999999999997</v>
      </c>
      <c r="K483" s="10">
        <f t="shared" si="53"/>
        <v>138.28089887640451</v>
      </c>
      <c r="L483" s="10">
        <f t="shared" si="54"/>
        <v>98.456000000000003</v>
      </c>
      <c r="M483" s="5">
        <f t="shared" si="55"/>
        <v>17.280898876404507</v>
      </c>
      <c r="N483" s="1"/>
    </row>
    <row r="484" spans="1:14" x14ac:dyDescent="0.35">
      <c r="A484" s="6">
        <v>45775</v>
      </c>
      <c r="B484" s="7" t="s">
        <v>56</v>
      </c>
      <c r="C484" s="2" t="str">
        <f t="shared" si="49"/>
        <v>Apr</v>
      </c>
      <c r="D484" s="2" t="str">
        <f t="shared" si="50"/>
        <v>Off-Peak</v>
      </c>
      <c r="E484" s="2" t="str">
        <f t="shared" si="51"/>
        <v>Mon</v>
      </c>
      <c r="F484" s="8">
        <v>106</v>
      </c>
      <c r="G484" s="8">
        <v>125</v>
      </c>
      <c r="H484" s="9">
        <v>24571</v>
      </c>
      <c r="I484" s="10">
        <v>177</v>
      </c>
      <c r="J484" s="11">
        <f t="shared" si="52"/>
        <v>0.84799999999999998</v>
      </c>
      <c r="K484" s="10">
        <f t="shared" si="53"/>
        <v>231.80188679245282</v>
      </c>
      <c r="L484" s="10">
        <f t="shared" si="54"/>
        <v>196.56800000000001</v>
      </c>
      <c r="M484" s="5">
        <f t="shared" si="55"/>
        <v>54.801886792452819</v>
      </c>
      <c r="N484" s="1"/>
    </row>
    <row r="485" spans="1:14" x14ac:dyDescent="0.35">
      <c r="A485" s="6">
        <v>45776</v>
      </c>
      <c r="B485" s="7" t="s">
        <v>56</v>
      </c>
      <c r="C485" s="2" t="str">
        <f t="shared" si="49"/>
        <v>Apr</v>
      </c>
      <c r="D485" s="2" t="str">
        <f t="shared" si="50"/>
        <v>Off-Peak</v>
      </c>
      <c r="E485" s="2" t="str">
        <f t="shared" si="51"/>
        <v>Tue</v>
      </c>
      <c r="F485" s="8">
        <v>109</v>
      </c>
      <c r="G485" s="8">
        <v>125</v>
      </c>
      <c r="H485" s="9">
        <v>28578</v>
      </c>
      <c r="I485" s="10">
        <v>120</v>
      </c>
      <c r="J485" s="11">
        <f t="shared" si="52"/>
        <v>0.872</v>
      </c>
      <c r="K485" s="10">
        <f t="shared" si="53"/>
        <v>262.18348623853211</v>
      </c>
      <c r="L485" s="10">
        <f t="shared" si="54"/>
        <v>228.624</v>
      </c>
      <c r="M485" s="5">
        <f t="shared" si="55"/>
        <v>142.18348623853211</v>
      </c>
      <c r="N485" s="1"/>
    </row>
    <row r="486" spans="1:14" x14ac:dyDescent="0.35">
      <c r="A486" s="6">
        <v>45777</v>
      </c>
      <c r="B486" s="7" t="s">
        <v>56</v>
      </c>
      <c r="C486" s="2" t="str">
        <f t="shared" si="49"/>
        <v>Apr</v>
      </c>
      <c r="D486" s="2" t="str">
        <f t="shared" si="50"/>
        <v>Off-Peak</v>
      </c>
      <c r="E486" s="2" t="str">
        <f t="shared" si="51"/>
        <v>Wed</v>
      </c>
      <c r="F486" s="8">
        <v>116</v>
      </c>
      <c r="G486" s="8">
        <v>125</v>
      </c>
      <c r="H486" s="9">
        <v>11866</v>
      </c>
      <c r="I486" s="10">
        <v>135</v>
      </c>
      <c r="J486" s="11">
        <f t="shared" si="52"/>
        <v>0.92800000000000005</v>
      </c>
      <c r="K486" s="10">
        <f t="shared" si="53"/>
        <v>102.29310344827586</v>
      </c>
      <c r="L486" s="10">
        <f t="shared" si="54"/>
        <v>94.927999999999997</v>
      </c>
      <c r="M486" s="5">
        <f t="shared" si="55"/>
        <v>-32.706896551724142</v>
      </c>
      <c r="N486" s="1"/>
    </row>
    <row r="487" spans="1:14" x14ac:dyDescent="0.35">
      <c r="A487" s="6">
        <v>45778</v>
      </c>
      <c r="B487" s="7" t="s">
        <v>56</v>
      </c>
      <c r="C487" s="2" t="str">
        <f t="shared" si="49"/>
        <v>May</v>
      </c>
      <c r="D487" s="2" t="str">
        <f t="shared" si="50"/>
        <v>Peak</v>
      </c>
      <c r="E487" s="2" t="str">
        <f t="shared" si="51"/>
        <v>Thu</v>
      </c>
      <c r="F487" s="8">
        <v>95</v>
      </c>
      <c r="G487" s="8">
        <v>125</v>
      </c>
      <c r="H487" s="9">
        <v>11644</v>
      </c>
      <c r="I487" s="10">
        <v>235</v>
      </c>
      <c r="J487" s="11">
        <f t="shared" si="52"/>
        <v>0.76</v>
      </c>
      <c r="K487" s="10">
        <f t="shared" si="53"/>
        <v>122.56842105263158</v>
      </c>
      <c r="L487" s="10">
        <f t="shared" si="54"/>
        <v>93.152000000000001</v>
      </c>
      <c r="M487" s="5">
        <f t="shared" si="55"/>
        <v>-112.43157894736842</v>
      </c>
      <c r="N487" s="1"/>
    </row>
    <row r="488" spans="1:14" x14ac:dyDescent="0.35">
      <c r="A488" s="6">
        <v>45779</v>
      </c>
      <c r="B488" s="7" t="s">
        <v>56</v>
      </c>
      <c r="C488" s="2" t="str">
        <f t="shared" si="49"/>
        <v>May</v>
      </c>
      <c r="D488" s="2" t="str">
        <f t="shared" si="50"/>
        <v>Peak</v>
      </c>
      <c r="E488" s="2" t="str">
        <f t="shared" si="51"/>
        <v>Fri</v>
      </c>
      <c r="F488" s="8">
        <v>94</v>
      </c>
      <c r="G488" s="8">
        <v>125</v>
      </c>
      <c r="H488" s="9">
        <v>20364</v>
      </c>
      <c r="I488" s="10">
        <v>168</v>
      </c>
      <c r="J488" s="11">
        <f t="shared" si="52"/>
        <v>0.752</v>
      </c>
      <c r="K488" s="10">
        <f t="shared" si="53"/>
        <v>216.63829787234042</v>
      </c>
      <c r="L488" s="10">
        <f t="shared" si="54"/>
        <v>162.91200000000001</v>
      </c>
      <c r="M488" s="5">
        <f t="shared" si="55"/>
        <v>48.638297872340416</v>
      </c>
      <c r="N488" s="1"/>
    </row>
    <row r="489" spans="1:14" x14ac:dyDescent="0.35">
      <c r="A489" s="6">
        <v>45780</v>
      </c>
      <c r="B489" s="7" t="s">
        <v>56</v>
      </c>
      <c r="C489" s="2" t="str">
        <f t="shared" si="49"/>
        <v>May</v>
      </c>
      <c r="D489" s="2" t="str">
        <f t="shared" si="50"/>
        <v>Peak</v>
      </c>
      <c r="E489" s="2" t="str">
        <f t="shared" si="51"/>
        <v>Sat</v>
      </c>
      <c r="F489" s="8">
        <v>116</v>
      </c>
      <c r="G489" s="8">
        <v>125</v>
      </c>
      <c r="H489" s="9">
        <v>19435</v>
      </c>
      <c r="I489" s="10">
        <v>156</v>
      </c>
      <c r="J489" s="11">
        <f t="shared" si="52"/>
        <v>0.92800000000000005</v>
      </c>
      <c r="K489" s="10">
        <f t="shared" si="53"/>
        <v>167.54310344827587</v>
      </c>
      <c r="L489" s="10">
        <f t="shared" si="54"/>
        <v>155.47999999999999</v>
      </c>
      <c r="M489" s="5">
        <f t="shared" si="55"/>
        <v>11.543103448275872</v>
      </c>
      <c r="N489" s="1"/>
    </row>
    <row r="490" spans="1:14" x14ac:dyDescent="0.35">
      <c r="A490" s="6">
        <v>45781</v>
      </c>
      <c r="B490" s="7" t="s">
        <v>56</v>
      </c>
      <c r="C490" s="2" t="str">
        <f t="shared" si="49"/>
        <v>May</v>
      </c>
      <c r="D490" s="2" t="str">
        <f t="shared" si="50"/>
        <v>Peak</v>
      </c>
      <c r="E490" s="2" t="str">
        <f t="shared" si="51"/>
        <v>Sun</v>
      </c>
      <c r="F490" s="8">
        <v>111</v>
      </c>
      <c r="G490" s="8">
        <v>125</v>
      </c>
      <c r="H490" s="9">
        <v>16137</v>
      </c>
      <c r="I490" s="10">
        <v>180</v>
      </c>
      <c r="J490" s="11">
        <f t="shared" si="52"/>
        <v>0.88800000000000001</v>
      </c>
      <c r="K490" s="10">
        <f t="shared" si="53"/>
        <v>145.37837837837839</v>
      </c>
      <c r="L490" s="10">
        <f t="shared" si="54"/>
        <v>129.096</v>
      </c>
      <c r="M490" s="5">
        <f t="shared" si="55"/>
        <v>-34.621621621621614</v>
      </c>
      <c r="N490" s="1"/>
    </row>
    <row r="491" spans="1:14" x14ac:dyDescent="0.35">
      <c r="A491" s="6">
        <v>45782</v>
      </c>
      <c r="B491" s="7" t="s">
        <v>56</v>
      </c>
      <c r="C491" s="2" t="str">
        <f t="shared" si="49"/>
        <v>May</v>
      </c>
      <c r="D491" s="2" t="str">
        <f t="shared" si="50"/>
        <v>Peak</v>
      </c>
      <c r="E491" s="2" t="str">
        <f t="shared" si="51"/>
        <v>Mon</v>
      </c>
      <c r="F491" s="8">
        <v>92</v>
      </c>
      <c r="G491" s="8">
        <v>125</v>
      </c>
      <c r="H491" s="9">
        <v>18593</v>
      </c>
      <c r="I491" s="10">
        <v>123</v>
      </c>
      <c r="J491" s="11">
        <f t="shared" si="52"/>
        <v>0.73599999999999999</v>
      </c>
      <c r="K491" s="10">
        <f t="shared" si="53"/>
        <v>202.09782608695653</v>
      </c>
      <c r="L491" s="10">
        <f t="shared" si="54"/>
        <v>148.744</v>
      </c>
      <c r="M491" s="5">
        <f t="shared" si="55"/>
        <v>79.09782608695653</v>
      </c>
      <c r="N491" s="1"/>
    </row>
    <row r="492" spans="1:14" x14ac:dyDescent="0.35">
      <c r="A492" s="6">
        <v>45783</v>
      </c>
      <c r="B492" s="7" t="s">
        <v>56</v>
      </c>
      <c r="C492" s="2" t="str">
        <f t="shared" si="49"/>
        <v>May</v>
      </c>
      <c r="D492" s="2" t="str">
        <f t="shared" si="50"/>
        <v>Peak</v>
      </c>
      <c r="E492" s="2" t="str">
        <f t="shared" si="51"/>
        <v>Tue</v>
      </c>
      <c r="F492" s="8">
        <v>105</v>
      </c>
      <c r="G492" s="8">
        <v>125</v>
      </c>
      <c r="H492" s="9">
        <v>34414</v>
      </c>
      <c r="I492" s="10">
        <v>124</v>
      </c>
      <c r="J492" s="11">
        <f t="shared" si="52"/>
        <v>0.84</v>
      </c>
      <c r="K492" s="10">
        <f t="shared" si="53"/>
        <v>327.75238095238097</v>
      </c>
      <c r="L492" s="10">
        <f t="shared" si="54"/>
        <v>275.31200000000001</v>
      </c>
      <c r="M492" s="5">
        <f t="shared" si="55"/>
        <v>203.75238095238097</v>
      </c>
      <c r="N492" s="1"/>
    </row>
    <row r="493" spans="1:14" x14ac:dyDescent="0.35">
      <c r="A493" s="6">
        <v>45784</v>
      </c>
      <c r="B493" s="7" t="s">
        <v>56</v>
      </c>
      <c r="C493" s="2" t="str">
        <f t="shared" si="49"/>
        <v>May</v>
      </c>
      <c r="D493" s="2" t="str">
        <f t="shared" si="50"/>
        <v>Peak</v>
      </c>
      <c r="E493" s="2" t="str">
        <f t="shared" si="51"/>
        <v>Wed</v>
      </c>
      <c r="F493" s="8">
        <v>118</v>
      </c>
      <c r="G493" s="8">
        <v>125</v>
      </c>
      <c r="H493" s="9">
        <v>32318</v>
      </c>
      <c r="I493" s="10">
        <v>122</v>
      </c>
      <c r="J493" s="11">
        <f t="shared" si="52"/>
        <v>0.94399999999999995</v>
      </c>
      <c r="K493" s="10">
        <f t="shared" si="53"/>
        <v>273.88135593220341</v>
      </c>
      <c r="L493" s="10">
        <f t="shared" si="54"/>
        <v>258.54399999999998</v>
      </c>
      <c r="M493" s="5">
        <f t="shared" si="55"/>
        <v>151.88135593220341</v>
      </c>
      <c r="N493" s="1"/>
    </row>
    <row r="494" spans="1:14" x14ac:dyDescent="0.35">
      <c r="A494" s="6">
        <v>45785</v>
      </c>
      <c r="B494" s="7" t="s">
        <v>56</v>
      </c>
      <c r="C494" s="2" t="str">
        <f t="shared" si="49"/>
        <v>May</v>
      </c>
      <c r="D494" s="2" t="str">
        <f t="shared" si="50"/>
        <v>Peak</v>
      </c>
      <c r="E494" s="2" t="str">
        <f t="shared" si="51"/>
        <v>Thu</v>
      </c>
      <c r="F494" s="8">
        <v>119</v>
      </c>
      <c r="G494" s="8">
        <v>125</v>
      </c>
      <c r="H494" s="9">
        <v>29594</v>
      </c>
      <c r="I494" s="10">
        <v>194</v>
      </c>
      <c r="J494" s="11">
        <f t="shared" si="52"/>
        <v>0.95199999999999996</v>
      </c>
      <c r="K494" s="10">
        <f t="shared" si="53"/>
        <v>248.68907563025209</v>
      </c>
      <c r="L494" s="10">
        <f t="shared" si="54"/>
        <v>236.75200000000001</v>
      </c>
      <c r="M494" s="5">
        <f t="shared" si="55"/>
        <v>54.689075630252091</v>
      </c>
      <c r="N494" s="1"/>
    </row>
    <row r="495" spans="1:14" x14ac:dyDescent="0.35">
      <c r="A495" s="6">
        <v>45786</v>
      </c>
      <c r="B495" s="7" t="s">
        <v>56</v>
      </c>
      <c r="C495" s="2" t="str">
        <f t="shared" si="49"/>
        <v>May</v>
      </c>
      <c r="D495" s="2" t="str">
        <f t="shared" si="50"/>
        <v>Peak</v>
      </c>
      <c r="E495" s="2" t="str">
        <f t="shared" si="51"/>
        <v>Fri</v>
      </c>
      <c r="F495" s="8">
        <v>99</v>
      </c>
      <c r="G495" s="8">
        <v>125</v>
      </c>
      <c r="H495" s="9">
        <v>24460</v>
      </c>
      <c r="I495" s="10">
        <v>177</v>
      </c>
      <c r="J495" s="11">
        <f t="shared" si="52"/>
        <v>0.79200000000000004</v>
      </c>
      <c r="K495" s="10">
        <f t="shared" si="53"/>
        <v>247.07070707070707</v>
      </c>
      <c r="L495" s="10">
        <f t="shared" si="54"/>
        <v>195.68</v>
      </c>
      <c r="M495" s="5">
        <f t="shared" si="55"/>
        <v>70.070707070707073</v>
      </c>
      <c r="N495" s="1"/>
    </row>
    <row r="496" spans="1:14" x14ac:dyDescent="0.35">
      <c r="A496" s="6">
        <v>45787</v>
      </c>
      <c r="B496" s="7" t="s">
        <v>56</v>
      </c>
      <c r="C496" s="2" t="str">
        <f t="shared" si="49"/>
        <v>May</v>
      </c>
      <c r="D496" s="2" t="str">
        <f t="shared" si="50"/>
        <v>Peak</v>
      </c>
      <c r="E496" s="2" t="str">
        <f t="shared" si="51"/>
        <v>Sat</v>
      </c>
      <c r="F496" s="8">
        <v>107</v>
      </c>
      <c r="G496" s="8">
        <v>125</v>
      </c>
      <c r="H496" s="9">
        <v>14498</v>
      </c>
      <c r="I496" s="10">
        <v>210</v>
      </c>
      <c r="J496" s="11">
        <f t="shared" si="52"/>
        <v>0.85599999999999998</v>
      </c>
      <c r="K496" s="10">
        <f t="shared" si="53"/>
        <v>135.49532710280374</v>
      </c>
      <c r="L496" s="10">
        <f t="shared" si="54"/>
        <v>115.98399999999999</v>
      </c>
      <c r="M496" s="5">
        <f t="shared" si="55"/>
        <v>-74.504672897196258</v>
      </c>
      <c r="N496" s="1"/>
    </row>
    <row r="497" spans="1:14" x14ac:dyDescent="0.35">
      <c r="A497" s="6">
        <v>45788</v>
      </c>
      <c r="B497" s="7" t="s">
        <v>56</v>
      </c>
      <c r="C497" s="2" t="str">
        <f t="shared" si="49"/>
        <v>May</v>
      </c>
      <c r="D497" s="2" t="str">
        <f t="shared" si="50"/>
        <v>Peak</v>
      </c>
      <c r="E497" s="2" t="str">
        <f t="shared" si="51"/>
        <v>Sun</v>
      </c>
      <c r="F497" s="8">
        <v>86</v>
      </c>
      <c r="G497" s="8">
        <v>125</v>
      </c>
      <c r="H497" s="9">
        <v>14031</v>
      </c>
      <c r="I497" s="10">
        <v>148</v>
      </c>
      <c r="J497" s="11">
        <f t="shared" si="52"/>
        <v>0.68799999999999994</v>
      </c>
      <c r="K497" s="10">
        <f t="shared" si="53"/>
        <v>163.15116279069767</v>
      </c>
      <c r="L497" s="10">
        <f t="shared" si="54"/>
        <v>112.248</v>
      </c>
      <c r="M497" s="5">
        <f t="shared" si="55"/>
        <v>15.151162790697668</v>
      </c>
      <c r="N497" s="1"/>
    </row>
    <row r="498" spans="1:14" x14ac:dyDescent="0.35">
      <c r="A498" s="6">
        <v>45789</v>
      </c>
      <c r="B498" s="7" t="s">
        <v>56</v>
      </c>
      <c r="C498" s="2" t="str">
        <f t="shared" si="49"/>
        <v>May</v>
      </c>
      <c r="D498" s="2" t="str">
        <f t="shared" si="50"/>
        <v>Peak</v>
      </c>
      <c r="E498" s="2" t="str">
        <f t="shared" si="51"/>
        <v>Mon</v>
      </c>
      <c r="F498" s="8">
        <v>105</v>
      </c>
      <c r="G498" s="8">
        <v>125</v>
      </c>
      <c r="H498" s="9">
        <v>28325</v>
      </c>
      <c r="I498" s="10">
        <v>120</v>
      </c>
      <c r="J498" s="11">
        <f t="shared" si="52"/>
        <v>0.84</v>
      </c>
      <c r="K498" s="10">
        <f t="shared" si="53"/>
        <v>269.76190476190476</v>
      </c>
      <c r="L498" s="10">
        <f t="shared" si="54"/>
        <v>226.6</v>
      </c>
      <c r="M498" s="5">
        <f t="shared" si="55"/>
        <v>149.76190476190476</v>
      </c>
      <c r="N498" s="1"/>
    </row>
    <row r="499" spans="1:14" x14ac:dyDescent="0.35">
      <c r="A499" s="6">
        <v>45790</v>
      </c>
      <c r="B499" s="7" t="s">
        <v>56</v>
      </c>
      <c r="C499" s="2" t="str">
        <f t="shared" si="49"/>
        <v>May</v>
      </c>
      <c r="D499" s="2" t="str">
        <f t="shared" si="50"/>
        <v>Peak</v>
      </c>
      <c r="E499" s="2" t="str">
        <f t="shared" si="51"/>
        <v>Tue</v>
      </c>
      <c r="F499" s="8">
        <v>95</v>
      </c>
      <c r="G499" s="8">
        <v>125</v>
      </c>
      <c r="H499" s="9">
        <v>20915</v>
      </c>
      <c r="I499" s="10">
        <v>170</v>
      </c>
      <c r="J499" s="11">
        <f t="shared" si="52"/>
        <v>0.76</v>
      </c>
      <c r="K499" s="10">
        <f t="shared" si="53"/>
        <v>220.15789473684211</v>
      </c>
      <c r="L499" s="10">
        <f t="shared" si="54"/>
        <v>167.32</v>
      </c>
      <c r="M499" s="5">
        <f t="shared" si="55"/>
        <v>50.15789473684211</v>
      </c>
      <c r="N499" s="1"/>
    </row>
    <row r="500" spans="1:14" x14ac:dyDescent="0.35">
      <c r="A500" s="6">
        <v>45791</v>
      </c>
      <c r="B500" s="7" t="s">
        <v>56</v>
      </c>
      <c r="C500" s="2" t="str">
        <f t="shared" si="49"/>
        <v>May</v>
      </c>
      <c r="D500" s="2" t="str">
        <f t="shared" si="50"/>
        <v>Peak</v>
      </c>
      <c r="E500" s="2" t="str">
        <f t="shared" si="51"/>
        <v>Wed</v>
      </c>
      <c r="F500" s="8">
        <v>118</v>
      </c>
      <c r="G500" s="8">
        <v>125</v>
      </c>
      <c r="H500" s="9">
        <v>14800</v>
      </c>
      <c r="I500" s="10">
        <v>144</v>
      </c>
      <c r="J500" s="11">
        <f t="shared" si="52"/>
        <v>0.94399999999999995</v>
      </c>
      <c r="K500" s="10">
        <f t="shared" si="53"/>
        <v>125.42372881355932</v>
      </c>
      <c r="L500" s="10">
        <f t="shared" si="54"/>
        <v>118.4</v>
      </c>
      <c r="M500" s="5">
        <f t="shared" si="55"/>
        <v>-18.576271186440678</v>
      </c>
      <c r="N500" s="1"/>
    </row>
    <row r="501" spans="1:14" x14ac:dyDescent="0.35">
      <c r="A501" s="6">
        <v>45792</v>
      </c>
      <c r="B501" s="7" t="s">
        <v>56</v>
      </c>
      <c r="C501" s="2" t="str">
        <f t="shared" si="49"/>
        <v>May</v>
      </c>
      <c r="D501" s="2" t="str">
        <f t="shared" si="50"/>
        <v>Peak</v>
      </c>
      <c r="E501" s="2" t="str">
        <f t="shared" si="51"/>
        <v>Thu</v>
      </c>
      <c r="F501" s="8">
        <v>88</v>
      </c>
      <c r="G501" s="8">
        <v>125</v>
      </c>
      <c r="H501" s="9">
        <v>21698</v>
      </c>
      <c r="I501" s="10">
        <v>209</v>
      </c>
      <c r="J501" s="11">
        <f t="shared" si="52"/>
        <v>0.70399999999999996</v>
      </c>
      <c r="K501" s="10">
        <f t="shared" si="53"/>
        <v>246.56818181818181</v>
      </c>
      <c r="L501" s="10">
        <f t="shared" si="54"/>
        <v>173.584</v>
      </c>
      <c r="M501" s="5">
        <f t="shared" si="55"/>
        <v>37.568181818181813</v>
      </c>
      <c r="N501" s="1"/>
    </row>
    <row r="502" spans="1:14" x14ac:dyDescent="0.35">
      <c r="A502" s="6">
        <v>45793</v>
      </c>
      <c r="B502" s="7" t="s">
        <v>56</v>
      </c>
      <c r="C502" s="2" t="str">
        <f t="shared" si="49"/>
        <v>May</v>
      </c>
      <c r="D502" s="2" t="str">
        <f t="shared" si="50"/>
        <v>Peak</v>
      </c>
      <c r="E502" s="2" t="str">
        <f t="shared" si="51"/>
        <v>Fri</v>
      </c>
      <c r="F502" s="8">
        <v>95</v>
      </c>
      <c r="G502" s="8">
        <v>125</v>
      </c>
      <c r="H502" s="9">
        <v>19782</v>
      </c>
      <c r="I502" s="10">
        <v>215</v>
      </c>
      <c r="J502" s="11">
        <f t="shared" si="52"/>
        <v>0.76</v>
      </c>
      <c r="K502" s="10">
        <f t="shared" si="53"/>
        <v>208.23157894736843</v>
      </c>
      <c r="L502" s="10">
        <f t="shared" si="54"/>
        <v>158.256</v>
      </c>
      <c r="M502" s="5">
        <f t="shared" si="55"/>
        <v>-6.7684210526315667</v>
      </c>
      <c r="N502" s="1"/>
    </row>
    <row r="503" spans="1:14" x14ac:dyDescent="0.35">
      <c r="A503" s="6">
        <v>45794</v>
      </c>
      <c r="B503" s="7" t="s">
        <v>56</v>
      </c>
      <c r="C503" s="2" t="str">
        <f t="shared" si="49"/>
        <v>May</v>
      </c>
      <c r="D503" s="2" t="str">
        <f t="shared" si="50"/>
        <v>Peak</v>
      </c>
      <c r="E503" s="2" t="str">
        <f t="shared" si="51"/>
        <v>Sat</v>
      </c>
      <c r="F503" s="8">
        <v>92</v>
      </c>
      <c r="G503" s="8">
        <v>125</v>
      </c>
      <c r="H503" s="9">
        <v>22883</v>
      </c>
      <c r="I503" s="10">
        <v>205</v>
      </c>
      <c r="J503" s="11">
        <f t="shared" si="52"/>
        <v>0.73599999999999999</v>
      </c>
      <c r="K503" s="10">
        <f t="shared" si="53"/>
        <v>248.72826086956522</v>
      </c>
      <c r="L503" s="10">
        <f t="shared" si="54"/>
        <v>183.06399999999999</v>
      </c>
      <c r="M503" s="5">
        <f t="shared" si="55"/>
        <v>43.728260869565219</v>
      </c>
      <c r="N503" s="1"/>
    </row>
    <row r="504" spans="1:14" x14ac:dyDescent="0.35">
      <c r="A504" s="6">
        <v>45795</v>
      </c>
      <c r="B504" s="7" t="s">
        <v>56</v>
      </c>
      <c r="C504" s="2" t="str">
        <f t="shared" si="49"/>
        <v>May</v>
      </c>
      <c r="D504" s="2" t="str">
        <f t="shared" si="50"/>
        <v>Peak</v>
      </c>
      <c r="E504" s="2" t="str">
        <f t="shared" si="51"/>
        <v>Sun</v>
      </c>
      <c r="F504" s="8">
        <v>93</v>
      </c>
      <c r="G504" s="8">
        <v>125</v>
      </c>
      <c r="H504" s="9">
        <v>20362</v>
      </c>
      <c r="I504" s="10">
        <v>167</v>
      </c>
      <c r="J504" s="11">
        <f t="shared" si="52"/>
        <v>0.74399999999999999</v>
      </c>
      <c r="K504" s="10">
        <f t="shared" si="53"/>
        <v>218.94623655913978</v>
      </c>
      <c r="L504" s="10">
        <f t="shared" si="54"/>
        <v>162.89599999999999</v>
      </c>
      <c r="M504" s="5">
        <f t="shared" si="55"/>
        <v>51.946236559139777</v>
      </c>
      <c r="N504" s="1"/>
    </row>
    <row r="505" spans="1:14" x14ac:dyDescent="0.35">
      <c r="A505" s="6">
        <v>45796</v>
      </c>
      <c r="B505" s="7" t="s">
        <v>56</v>
      </c>
      <c r="C505" s="2" t="str">
        <f t="shared" si="49"/>
        <v>May</v>
      </c>
      <c r="D505" s="2" t="str">
        <f t="shared" si="50"/>
        <v>Peak</v>
      </c>
      <c r="E505" s="2" t="str">
        <f t="shared" si="51"/>
        <v>Mon</v>
      </c>
      <c r="F505" s="8">
        <v>119</v>
      </c>
      <c r="G505" s="8">
        <v>125</v>
      </c>
      <c r="H505" s="9">
        <v>33176</v>
      </c>
      <c r="I505" s="10">
        <v>222</v>
      </c>
      <c r="J505" s="11">
        <f t="shared" si="52"/>
        <v>0.95199999999999996</v>
      </c>
      <c r="K505" s="10">
        <f t="shared" si="53"/>
        <v>278.78991596638656</v>
      </c>
      <c r="L505" s="10">
        <f t="shared" si="54"/>
        <v>265.40800000000002</v>
      </c>
      <c r="M505" s="5">
        <f t="shared" si="55"/>
        <v>56.789915966386559</v>
      </c>
      <c r="N505" s="1"/>
    </row>
    <row r="506" spans="1:14" x14ac:dyDescent="0.35">
      <c r="A506" s="6">
        <v>45797</v>
      </c>
      <c r="B506" s="7" t="s">
        <v>56</v>
      </c>
      <c r="C506" s="2" t="str">
        <f t="shared" si="49"/>
        <v>May</v>
      </c>
      <c r="D506" s="2" t="str">
        <f t="shared" si="50"/>
        <v>Peak</v>
      </c>
      <c r="E506" s="2" t="str">
        <f t="shared" si="51"/>
        <v>Tue</v>
      </c>
      <c r="F506" s="8">
        <v>117</v>
      </c>
      <c r="G506" s="8">
        <v>125</v>
      </c>
      <c r="H506" s="9">
        <v>12548</v>
      </c>
      <c r="I506" s="10">
        <v>184</v>
      </c>
      <c r="J506" s="11">
        <f t="shared" si="52"/>
        <v>0.93600000000000005</v>
      </c>
      <c r="K506" s="10">
        <f t="shared" si="53"/>
        <v>107.24786324786325</v>
      </c>
      <c r="L506" s="10">
        <f t="shared" si="54"/>
        <v>100.384</v>
      </c>
      <c r="M506" s="5">
        <f t="shared" si="55"/>
        <v>-76.752136752136749</v>
      </c>
      <c r="N506" s="1"/>
    </row>
    <row r="507" spans="1:14" x14ac:dyDescent="0.35">
      <c r="A507" s="6">
        <v>45798</v>
      </c>
      <c r="B507" s="7" t="s">
        <v>56</v>
      </c>
      <c r="C507" s="2" t="str">
        <f t="shared" si="49"/>
        <v>May</v>
      </c>
      <c r="D507" s="2" t="str">
        <f t="shared" si="50"/>
        <v>Peak</v>
      </c>
      <c r="E507" s="2" t="str">
        <f t="shared" si="51"/>
        <v>Wed</v>
      </c>
      <c r="F507" s="8">
        <v>97</v>
      </c>
      <c r="G507" s="8">
        <v>125</v>
      </c>
      <c r="H507" s="9">
        <v>13982</v>
      </c>
      <c r="I507" s="10">
        <v>215</v>
      </c>
      <c r="J507" s="11">
        <f t="shared" si="52"/>
        <v>0.77600000000000002</v>
      </c>
      <c r="K507" s="10">
        <f t="shared" si="53"/>
        <v>144.14432989690721</v>
      </c>
      <c r="L507" s="10">
        <f t="shared" si="54"/>
        <v>111.85599999999999</v>
      </c>
      <c r="M507" s="5">
        <f t="shared" si="55"/>
        <v>-70.855670103092791</v>
      </c>
      <c r="N507" s="1"/>
    </row>
    <row r="508" spans="1:14" x14ac:dyDescent="0.35">
      <c r="A508" s="6">
        <v>45799</v>
      </c>
      <c r="B508" s="7" t="s">
        <v>56</v>
      </c>
      <c r="C508" s="2" t="str">
        <f t="shared" si="49"/>
        <v>May</v>
      </c>
      <c r="D508" s="2" t="str">
        <f t="shared" si="50"/>
        <v>Peak</v>
      </c>
      <c r="E508" s="2" t="str">
        <f t="shared" si="51"/>
        <v>Thu</v>
      </c>
      <c r="F508" s="8">
        <v>93</v>
      </c>
      <c r="G508" s="8">
        <v>125</v>
      </c>
      <c r="H508" s="9">
        <v>20203</v>
      </c>
      <c r="I508" s="10">
        <v>167</v>
      </c>
      <c r="J508" s="11">
        <f t="shared" si="52"/>
        <v>0.74399999999999999</v>
      </c>
      <c r="K508" s="10">
        <f t="shared" si="53"/>
        <v>217.23655913978496</v>
      </c>
      <c r="L508" s="10">
        <f t="shared" si="54"/>
        <v>161.624</v>
      </c>
      <c r="M508" s="5">
        <f t="shared" si="55"/>
        <v>50.236559139784958</v>
      </c>
      <c r="N508" s="1"/>
    </row>
    <row r="509" spans="1:14" x14ac:dyDescent="0.35">
      <c r="A509" s="6">
        <v>45800</v>
      </c>
      <c r="B509" s="7" t="s">
        <v>56</v>
      </c>
      <c r="C509" s="2" t="str">
        <f t="shared" si="49"/>
        <v>May</v>
      </c>
      <c r="D509" s="2" t="str">
        <f t="shared" si="50"/>
        <v>Peak</v>
      </c>
      <c r="E509" s="2" t="str">
        <f t="shared" si="51"/>
        <v>Fri</v>
      </c>
      <c r="F509" s="8">
        <v>110</v>
      </c>
      <c r="G509" s="8">
        <v>125</v>
      </c>
      <c r="H509" s="9">
        <v>12696</v>
      </c>
      <c r="I509" s="10">
        <v>144</v>
      </c>
      <c r="J509" s="11">
        <f t="shared" si="52"/>
        <v>0.88</v>
      </c>
      <c r="K509" s="10">
        <f t="shared" si="53"/>
        <v>115.41818181818182</v>
      </c>
      <c r="L509" s="10">
        <f t="shared" si="54"/>
        <v>101.568</v>
      </c>
      <c r="M509" s="5">
        <f t="shared" si="55"/>
        <v>-28.581818181818178</v>
      </c>
      <c r="N509" s="1"/>
    </row>
    <row r="510" spans="1:14" x14ac:dyDescent="0.35">
      <c r="A510" s="6">
        <v>45801</v>
      </c>
      <c r="B510" s="7" t="s">
        <v>56</v>
      </c>
      <c r="C510" s="2" t="str">
        <f t="shared" si="49"/>
        <v>May</v>
      </c>
      <c r="D510" s="2" t="str">
        <f t="shared" si="50"/>
        <v>Peak</v>
      </c>
      <c r="E510" s="2" t="str">
        <f t="shared" si="51"/>
        <v>Sat</v>
      </c>
      <c r="F510" s="8">
        <v>105</v>
      </c>
      <c r="G510" s="8">
        <v>125</v>
      </c>
      <c r="H510" s="9">
        <v>12616</v>
      </c>
      <c r="I510" s="10">
        <v>233</v>
      </c>
      <c r="J510" s="11">
        <f t="shared" si="52"/>
        <v>0.84</v>
      </c>
      <c r="K510" s="10">
        <f t="shared" si="53"/>
        <v>120.15238095238095</v>
      </c>
      <c r="L510" s="10">
        <f t="shared" si="54"/>
        <v>100.928</v>
      </c>
      <c r="M510" s="5">
        <f t="shared" si="55"/>
        <v>-112.84761904761905</v>
      </c>
      <c r="N510" s="1"/>
    </row>
    <row r="511" spans="1:14" x14ac:dyDescent="0.35">
      <c r="A511" s="6">
        <v>45802</v>
      </c>
      <c r="B511" s="7" t="s">
        <v>56</v>
      </c>
      <c r="C511" s="2" t="str">
        <f t="shared" si="49"/>
        <v>May</v>
      </c>
      <c r="D511" s="2" t="str">
        <f t="shared" si="50"/>
        <v>Peak</v>
      </c>
      <c r="E511" s="2" t="str">
        <f t="shared" si="51"/>
        <v>Sun</v>
      </c>
      <c r="F511" s="8">
        <v>86</v>
      </c>
      <c r="G511" s="8">
        <v>125</v>
      </c>
      <c r="H511" s="9">
        <v>18820</v>
      </c>
      <c r="I511" s="10">
        <v>190</v>
      </c>
      <c r="J511" s="11">
        <f t="shared" si="52"/>
        <v>0.68799999999999994</v>
      </c>
      <c r="K511" s="10">
        <f t="shared" si="53"/>
        <v>218.83720930232559</v>
      </c>
      <c r="L511" s="10">
        <f t="shared" si="54"/>
        <v>150.56</v>
      </c>
      <c r="M511" s="5">
        <f t="shared" si="55"/>
        <v>28.83720930232559</v>
      </c>
      <c r="N511" s="1"/>
    </row>
    <row r="512" spans="1:14" x14ac:dyDescent="0.35">
      <c r="A512" s="6">
        <v>45803</v>
      </c>
      <c r="B512" s="7" t="s">
        <v>56</v>
      </c>
      <c r="C512" s="2" t="str">
        <f t="shared" si="49"/>
        <v>May</v>
      </c>
      <c r="D512" s="2" t="str">
        <f t="shared" si="50"/>
        <v>Peak</v>
      </c>
      <c r="E512" s="2" t="str">
        <f t="shared" si="51"/>
        <v>Mon</v>
      </c>
      <c r="F512" s="8">
        <v>99</v>
      </c>
      <c r="G512" s="8">
        <v>125</v>
      </c>
      <c r="H512" s="9">
        <v>23340</v>
      </c>
      <c r="I512" s="10">
        <v>130</v>
      </c>
      <c r="J512" s="11">
        <f t="shared" si="52"/>
        <v>0.79200000000000004</v>
      </c>
      <c r="K512" s="10">
        <f t="shared" si="53"/>
        <v>235.75757575757575</v>
      </c>
      <c r="L512" s="10">
        <f t="shared" si="54"/>
        <v>186.72</v>
      </c>
      <c r="M512" s="5">
        <f t="shared" si="55"/>
        <v>105.75757575757575</v>
      </c>
      <c r="N512" s="1"/>
    </row>
    <row r="513" spans="1:14" x14ac:dyDescent="0.35">
      <c r="A513" s="6">
        <v>45804</v>
      </c>
      <c r="B513" s="7" t="s">
        <v>56</v>
      </c>
      <c r="C513" s="2" t="str">
        <f t="shared" si="49"/>
        <v>May</v>
      </c>
      <c r="D513" s="2" t="str">
        <f t="shared" si="50"/>
        <v>Peak</v>
      </c>
      <c r="E513" s="2" t="str">
        <f t="shared" si="51"/>
        <v>Tue</v>
      </c>
      <c r="F513" s="8">
        <v>99</v>
      </c>
      <c r="G513" s="8">
        <v>125</v>
      </c>
      <c r="H513" s="9">
        <v>30501</v>
      </c>
      <c r="I513" s="10">
        <v>232</v>
      </c>
      <c r="J513" s="11">
        <f t="shared" si="52"/>
        <v>0.79200000000000004</v>
      </c>
      <c r="K513" s="10">
        <f t="shared" si="53"/>
        <v>308.09090909090907</v>
      </c>
      <c r="L513" s="10">
        <f t="shared" si="54"/>
        <v>244.00800000000001</v>
      </c>
      <c r="M513" s="5">
        <f t="shared" si="55"/>
        <v>76.090909090909065</v>
      </c>
      <c r="N513" s="1"/>
    </row>
    <row r="514" spans="1:14" x14ac:dyDescent="0.35">
      <c r="A514" s="6">
        <v>45805</v>
      </c>
      <c r="B514" s="7" t="s">
        <v>56</v>
      </c>
      <c r="C514" s="2" t="str">
        <f t="shared" ref="C514:C577" si="56">CHOOSE(MONTH(A514),"Jan","Feb","Mar","Apr","May","Jun","Jul","Aug","Sep","Oct","Nov","Dec")</f>
        <v>May</v>
      </c>
      <c r="D514" s="2" t="str">
        <f t="shared" ref="D514:D577" si="57">IF(AND(MONTH(A514)&gt;=5,MONTH(A514)&lt;=9),"Peak","Off-Peak")</f>
        <v>Peak</v>
      </c>
      <c r="E514" s="2" t="str">
        <f t="shared" ref="E514:E577" si="58">CHOOSE(WEEKDAY(A514,2),"Mon","Tue","Wed","Thu","Fri","Sat","Sun")</f>
        <v>Wed</v>
      </c>
      <c r="F514" s="8">
        <v>113</v>
      </c>
      <c r="G514" s="8">
        <v>125</v>
      </c>
      <c r="H514" s="9">
        <v>21201</v>
      </c>
      <c r="I514" s="10">
        <v>168</v>
      </c>
      <c r="J514" s="11">
        <f t="shared" ref="J514:J577" si="59">IF(G514=0,0,F514/G514)</f>
        <v>0.90400000000000003</v>
      </c>
      <c r="K514" s="10">
        <f t="shared" ref="K514:K577" si="60">IF(F514=0,0,H514/F514)</f>
        <v>187.61946902654867</v>
      </c>
      <c r="L514" s="10">
        <f t="shared" ref="L514:L577" si="61">IF(G514=0,0,H514/G514)</f>
        <v>169.608</v>
      </c>
      <c r="M514" s="5">
        <f t="shared" ref="M514:M577" si="62">K514-I514</f>
        <v>19.619469026548671</v>
      </c>
      <c r="N514" s="1"/>
    </row>
    <row r="515" spans="1:14" x14ac:dyDescent="0.35">
      <c r="A515" s="6">
        <v>45806</v>
      </c>
      <c r="B515" s="7" t="s">
        <v>56</v>
      </c>
      <c r="C515" s="2" t="str">
        <f t="shared" si="56"/>
        <v>May</v>
      </c>
      <c r="D515" s="2" t="str">
        <f t="shared" si="57"/>
        <v>Peak</v>
      </c>
      <c r="E515" s="2" t="str">
        <f t="shared" si="58"/>
        <v>Thu</v>
      </c>
      <c r="F515" s="8">
        <v>97</v>
      </c>
      <c r="G515" s="8">
        <v>125</v>
      </c>
      <c r="H515" s="9">
        <v>16118</v>
      </c>
      <c r="I515" s="10">
        <v>248</v>
      </c>
      <c r="J515" s="11">
        <f t="shared" si="59"/>
        <v>0.77600000000000002</v>
      </c>
      <c r="K515" s="10">
        <f t="shared" si="60"/>
        <v>166.16494845360825</v>
      </c>
      <c r="L515" s="10">
        <f t="shared" si="61"/>
        <v>128.94399999999999</v>
      </c>
      <c r="M515" s="5">
        <f t="shared" si="62"/>
        <v>-81.835051546391753</v>
      </c>
      <c r="N515" s="1"/>
    </row>
    <row r="516" spans="1:14" x14ac:dyDescent="0.35">
      <c r="A516" s="6">
        <v>45807</v>
      </c>
      <c r="B516" s="7" t="s">
        <v>56</v>
      </c>
      <c r="C516" s="2" t="str">
        <f t="shared" si="56"/>
        <v>May</v>
      </c>
      <c r="D516" s="2" t="str">
        <f t="shared" si="57"/>
        <v>Peak</v>
      </c>
      <c r="E516" s="2" t="str">
        <f t="shared" si="58"/>
        <v>Fri</v>
      </c>
      <c r="F516" s="8">
        <v>99</v>
      </c>
      <c r="G516" s="8">
        <v>125</v>
      </c>
      <c r="H516" s="9">
        <v>17252</v>
      </c>
      <c r="I516" s="10">
        <v>190</v>
      </c>
      <c r="J516" s="11">
        <f t="shared" si="59"/>
        <v>0.79200000000000004</v>
      </c>
      <c r="K516" s="10">
        <f t="shared" si="60"/>
        <v>174.26262626262627</v>
      </c>
      <c r="L516" s="10">
        <f t="shared" si="61"/>
        <v>138.01599999999999</v>
      </c>
      <c r="M516" s="5">
        <f t="shared" si="62"/>
        <v>-15.73737373737373</v>
      </c>
      <c r="N516" s="1"/>
    </row>
    <row r="517" spans="1:14" x14ac:dyDescent="0.35">
      <c r="A517" s="6">
        <v>45808</v>
      </c>
      <c r="B517" s="7" t="s">
        <v>56</v>
      </c>
      <c r="C517" s="2" t="str">
        <f t="shared" si="56"/>
        <v>May</v>
      </c>
      <c r="D517" s="2" t="str">
        <f t="shared" si="57"/>
        <v>Peak</v>
      </c>
      <c r="E517" s="2" t="str">
        <f t="shared" si="58"/>
        <v>Sat</v>
      </c>
      <c r="F517" s="8">
        <v>108</v>
      </c>
      <c r="G517" s="8">
        <v>125</v>
      </c>
      <c r="H517" s="9">
        <v>33833</v>
      </c>
      <c r="I517" s="10">
        <v>191</v>
      </c>
      <c r="J517" s="11">
        <f t="shared" si="59"/>
        <v>0.86399999999999999</v>
      </c>
      <c r="K517" s="10">
        <f t="shared" si="60"/>
        <v>313.26851851851853</v>
      </c>
      <c r="L517" s="10">
        <f t="shared" si="61"/>
        <v>270.66399999999999</v>
      </c>
      <c r="M517" s="5">
        <f t="shared" si="62"/>
        <v>122.26851851851853</v>
      </c>
      <c r="N517" s="1"/>
    </row>
    <row r="518" spans="1:14" x14ac:dyDescent="0.35">
      <c r="A518" s="6">
        <v>45809</v>
      </c>
      <c r="B518" s="7" t="s">
        <v>56</v>
      </c>
      <c r="C518" s="2" t="str">
        <f t="shared" si="56"/>
        <v>Jun</v>
      </c>
      <c r="D518" s="2" t="str">
        <f t="shared" si="57"/>
        <v>Peak</v>
      </c>
      <c r="E518" s="2" t="str">
        <f t="shared" si="58"/>
        <v>Sun</v>
      </c>
      <c r="F518" s="8">
        <v>101</v>
      </c>
      <c r="G518" s="8">
        <v>125</v>
      </c>
      <c r="H518" s="9">
        <v>22477</v>
      </c>
      <c r="I518" s="10">
        <v>154</v>
      </c>
      <c r="J518" s="11">
        <f t="shared" si="59"/>
        <v>0.80800000000000005</v>
      </c>
      <c r="K518" s="10">
        <f t="shared" si="60"/>
        <v>222.54455445544554</v>
      </c>
      <c r="L518" s="10">
        <f t="shared" si="61"/>
        <v>179.816</v>
      </c>
      <c r="M518" s="5">
        <f t="shared" si="62"/>
        <v>68.544554455445535</v>
      </c>
      <c r="N518" s="1"/>
    </row>
    <row r="519" spans="1:14" x14ac:dyDescent="0.35">
      <c r="A519" s="6">
        <v>45810</v>
      </c>
      <c r="B519" s="7" t="s">
        <v>56</v>
      </c>
      <c r="C519" s="2" t="str">
        <f t="shared" si="56"/>
        <v>Jun</v>
      </c>
      <c r="D519" s="2" t="str">
        <f t="shared" si="57"/>
        <v>Peak</v>
      </c>
      <c r="E519" s="2" t="str">
        <f t="shared" si="58"/>
        <v>Mon</v>
      </c>
      <c r="F519" s="8">
        <v>114</v>
      </c>
      <c r="G519" s="8">
        <v>125</v>
      </c>
      <c r="H519" s="9">
        <v>11996</v>
      </c>
      <c r="I519" s="10">
        <v>176</v>
      </c>
      <c r="J519" s="11">
        <f t="shared" si="59"/>
        <v>0.91200000000000003</v>
      </c>
      <c r="K519" s="10">
        <f t="shared" si="60"/>
        <v>105.2280701754386</v>
      </c>
      <c r="L519" s="10">
        <f t="shared" si="61"/>
        <v>95.968000000000004</v>
      </c>
      <c r="M519" s="5">
        <f t="shared" si="62"/>
        <v>-70.771929824561397</v>
      </c>
      <c r="N519" s="1"/>
    </row>
    <row r="520" spans="1:14" x14ac:dyDescent="0.35">
      <c r="A520" s="6">
        <v>45811</v>
      </c>
      <c r="B520" s="7" t="s">
        <v>56</v>
      </c>
      <c r="C520" s="2" t="str">
        <f t="shared" si="56"/>
        <v>Jun</v>
      </c>
      <c r="D520" s="2" t="str">
        <f t="shared" si="57"/>
        <v>Peak</v>
      </c>
      <c r="E520" s="2" t="str">
        <f t="shared" si="58"/>
        <v>Tue</v>
      </c>
      <c r="F520" s="8">
        <v>89</v>
      </c>
      <c r="G520" s="8">
        <v>125</v>
      </c>
      <c r="H520" s="9">
        <v>16722</v>
      </c>
      <c r="I520" s="10">
        <v>209</v>
      </c>
      <c r="J520" s="11">
        <f t="shared" si="59"/>
        <v>0.71199999999999997</v>
      </c>
      <c r="K520" s="10">
        <f t="shared" si="60"/>
        <v>187.88764044943821</v>
      </c>
      <c r="L520" s="10">
        <f t="shared" si="61"/>
        <v>133.77600000000001</v>
      </c>
      <c r="M520" s="5">
        <f t="shared" si="62"/>
        <v>-21.112359550561791</v>
      </c>
      <c r="N520" s="1"/>
    </row>
    <row r="521" spans="1:14" x14ac:dyDescent="0.35">
      <c r="A521" s="6">
        <v>45812</v>
      </c>
      <c r="B521" s="7" t="s">
        <v>56</v>
      </c>
      <c r="C521" s="2" t="str">
        <f t="shared" si="56"/>
        <v>Jun</v>
      </c>
      <c r="D521" s="2" t="str">
        <f t="shared" si="57"/>
        <v>Peak</v>
      </c>
      <c r="E521" s="2" t="str">
        <f t="shared" si="58"/>
        <v>Wed</v>
      </c>
      <c r="F521" s="8">
        <v>94</v>
      </c>
      <c r="G521" s="8">
        <v>125</v>
      </c>
      <c r="H521" s="9">
        <v>21672</v>
      </c>
      <c r="I521" s="10">
        <v>171</v>
      </c>
      <c r="J521" s="11">
        <f t="shared" si="59"/>
        <v>0.752</v>
      </c>
      <c r="K521" s="10">
        <f t="shared" si="60"/>
        <v>230.55319148936169</v>
      </c>
      <c r="L521" s="10">
        <f t="shared" si="61"/>
        <v>173.376</v>
      </c>
      <c r="M521" s="5">
        <f t="shared" si="62"/>
        <v>59.553191489361694</v>
      </c>
      <c r="N521" s="1"/>
    </row>
    <row r="522" spans="1:14" x14ac:dyDescent="0.35">
      <c r="A522" s="6">
        <v>45813</v>
      </c>
      <c r="B522" s="7" t="s">
        <v>56</v>
      </c>
      <c r="C522" s="2" t="str">
        <f t="shared" si="56"/>
        <v>Jun</v>
      </c>
      <c r="D522" s="2" t="str">
        <f t="shared" si="57"/>
        <v>Peak</v>
      </c>
      <c r="E522" s="2" t="str">
        <f t="shared" si="58"/>
        <v>Thu</v>
      </c>
      <c r="F522" s="8">
        <v>94</v>
      </c>
      <c r="G522" s="8">
        <v>125</v>
      </c>
      <c r="H522" s="9">
        <v>25290</v>
      </c>
      <c r="I522" s="10">
        <v>138</v>
      </c>
      <c r="J522" s="11">
        <f t="shared" si="59"/>
        <v>0.752</v>
      </c>
      <c r="K522" s="10">
        <f t="shared" si="60"/>
        <v>269.04255319148939</v>
      </c>
      <c r="L522" s="10">
        <f t="shared" si="61"/>
        <v>202.32</v>
      </c>
      <c r="M522" s="5">
        <f t="shared" si="62"/>
        <v>131.04255319148939</v>
      </c>
      <c r="N522" s="1"/>
    </row>
    <row r="523" spans="1:14" x14ac:dyDescent="0.35">
      <c r="A523" s="6">
        <v>45814</v>
      </c>
      <c r="B523" s="7" t="s">
        <v>56</v>
      </c>
      <c r="C523" s="2" t="str">
        <f t="shared" si="56"/>
        <v>Jun</v>
      </c>
      <c r="D523" s="2" t="str">
        <f t="shared" si="57"/>
        <v>Peak</v>
      </c>
      <c r="E523" s="2" t="str">
        <f t="shared" si="58"/>
        <v>Fri</v>
      </c>
      <c r="F523" s="8">
        <v>90</v>
      </c>
      <c r="G523" s="8">
        <v>125</v>
      </c>
      <c r="H523" s="9">
        <v>15849</v>
      </c>
      <c r="I523" s="10">
        <v>198</v>
      </c>
      <c r="J523" s="11">
        <f t="shared" si="59"/>
        <v>0.72</v>
      </c>
      <c r="K523" s="10">
        <f t="shared" si="60"/>
        <v>176.1</v>
      </c>
      <c r="L523" s="10">
        <f t="shared" si="61"/>
        <v>126.792</v>
      </c>
      <c r="M523" s="5">
        <f t="shared" si="62"/>
        <v>-21.900000000000006</v>
      </c>
      <c r="N523" s="1"/>
    </row>
    <row r="524" spans="1:14" x14ac:dyDescent="0.35">
      <c r="A524" s="6">
        <v>45815</v>
      </c>
      <c r="B524" s="7" t="s">
        <v>56</v>
      </c>
      <c r="C524" s="2" t="str">
        <f t="shared" si="56"/>
        <v>Jun</v>
      </c>
      <c r="D524" s="2" t="str">
        <f t="shared" si="57"/>
        <v>Peak</v>
      </c>
      <c r="E524" s="2" t="str">
        <f t="shared" si="58"/>
        <v>Sat</v>
      </c>
      <c r="F524" s="8">
        <v>98</v>
      </c>
      <c r="G524" s="8">
        <v>125</v>
      </c>
      <c r="H524" s="9">
        <v>31021</v>
      </c>
      <c r="I524" s="10">
        <v>244</v>
      </c>
      <c r="J524" s="11">
        <f t="shared" si="59"/>
        <v>0.78400000000000003</v>
      </c>
      <c r="K524" s="10">
        <f t="shared" si="60"/>
        <v>316.5408163265306</v>
      </c>
      <c r="L524" s="10">
        <f t="shared" si="61"/>
        <v>248.16800000000001</v>
      </c>
      <c r="M524" s="5">
        <f t="shared" si="62"/>
        <v>72.540816326530603</v>
      </c>
      <c r="N524" s="1"/>
    </row>
    <row r="525" spans="1:14" x14ac:dyDescent="0.35">
      <c r="A525" s="6">
        <v>45816</v>
      </c>
      <c r="B525" s="7" t="s">
        <v>56</v>
      </c>
      <c r="C525" s="2" t="str">
        <f t="shared" si="56"/>
        <v>Jun</v>
      </c>
      <c r="D525" s="2" t="str">
        <f t="shared" si="57"/>
        <v>Peak</v>
      </c>
      <c r="E525" s="2" t="str">
        <f t="shared" si="58"/>
        <v>Sun</v>
      </c>
      <c r="F525" s="8">
        <v>97</v>
      </c>
      <c r="G525" s="8">
        <v>125</v>
      </c>
      <c r="H525" s="9">
        <v>12425</v>
      </c>
      <c r="I525" s="10">
        <v>127</v>
      </c>
      <c r="J525" s="11">
        <f t="shared" si="59"/>
        <v>0.77600000000000002</v>
      </c>
      <c r="K525" s="10">
        <f t="shared" si="60"/>
        <v>128.09278350515464</v>
      </c>
      <c r="L525" s="10">
        <f t="shared" si="61"/>
        <v>99.4</v>
      </c>
      <c r="M525" s="5">
        <f t="shared" si="62"/>
        <v>1.0927835051546424</v>
      </c>
      <c r="N525" s="1"/>
    </row>
    <row r="526" spans="1:14" x14ac:dyDescent="0.35">
      <c r="A526" s="6">
        <v>45817</v>
      </c>
      <c r="B526" s="7" t="s">
        <v>56</v>
      </c>
      <c r="C526" s="2" t="str">
        <f t="shared" si="56"/>
        <v>Jun</v>
      </c>
      <c r="D526" s="2" t="str">
        <f t="shared" si="57"/>
        <v>Peak</v>
      </c>
      <c r="E526" s="2" t="str">
        <f t="shared" si="58"/>
        <v>Mon</v>
      </c>
      <c r="F526" s="8">
        <v>88</v>
      </c>
      <c r="G526" s="8">
        <v>125</v>
      </c>
      <c r="H526" s="9">
        <v>26943</v>
      </c>
      <c r="I526" s="10">
        <v>211</v>
      </c>
      <c r="J526" s="11">
        <f t="shared" si="59"/>
        <v>0.70399999999999996</v>
      </c>
      <c r="K526" s="10">
        <f t="shared" si="60"/>
        <v>306.17045454545456</v>
      </c>
      <c r="L526" s="10">
        <f t="shared" si="61"/>
        <v>215.54400000000001</v>
      </c>
      <c r="M526" s="5">
        <f t="shared" si="62"/>
        <v>95.170454545454561</v>
      </c>
      <c r="N526" s="1"/>
    </row>
    <row r="527" spans="1:14" x14ac:dyDescent="0.35">
      <c r="A527" s="6">
        <v>45818</v>
      </c>
      <c r="B527" s="7" t="s">
        <v>56</v>
      </c>
      <c r="C527" s="2" t="str">
        <f t="shared" si="56"/>
        <v>Jun</v>
      </c>
      <c r="D527" s="2" t="str">
        <f t="shared" si="57"/>
        <v>Peak</v>
      </c>
      <c r="E527" s="2" t="str">
        <f t="shared" si="58"/>
        <v>Tue</v>
      </c>
      <c r="F527" s="8">
        <v>87</v>
      </c>
      <c r="G527" s="8">
        <v>125</v>
      </c>
      <c r="H527" s="9">
        <v>29268</v>
      </c>
      <c r="I527" s="10">
        <v>222</v>
      </c>
      <c r="J527" s="11">
        <f t="shared" si="59"/>
        <v>0.69599999999999995</v>
      </c>
      <c r="K527" s="10">
        <f t="shared" si="60"/>
        <v>336.41379310344826</v>
      </c>
      <c r="L527" s="10">
        <f t="shared" si="61"/>
        <v>234.14400000000001</v>
      </c>
      <c r="M527" s="5">
        <f t="shared" si="62"/>
        <v>114.41379310344826</v>
      </c>
      <c r="N527" s="1"/>
    </row>
    <row r="528" spans="1:14" x14ac:dyDescent="0.35">
      <c r="A528" s="6">
        <v>45819</v>
      </c>
      <c r="B528" s="7" t="s">
        <v>56</v>
      </c>
      <c r="C528" s="2" t="str">
        <f t="shared" si="56"/>
        <v>Jun</v>
      </c>
      <c r="D528" s="2" t="str">
        <f t="shared" si="57"/>
        <v>Peak</v>
      </c>
      <c r="E528" s="2" t="str">
        <f t="shared" si="58"/>
        <v>Wed</v>
      </c>
      <c r="F528" s="8">
        <v>99</v>
      </c>
      <c r="G528" s="8">
        <v>125</v>
      </c>
      <c r="H528" s="9">
        <v>16049</v>
      </c>
      <c r="I528" s="10">
        <v>231</v>
      </c>
      <c r="J528" s="11">
        <f t="shared" si="59"/>
        <v>0.79200000000000004</v>
      </c>
      <c r="K528" s="10">
        <f t="shared" si="60"/>
        <v>162.11111111111111</v>
      </c>
      <c r="L528" s="10">
        <f t="shared" si="61"/>
        <v>128.392</v>
      </c>
      <c r="M528" s="5">
        <f t="shared" si="62"/>
        <v>-68.888888888888886</v>
      </c>
      <c r="N528" s="1"/>
    </row>
    <row r="529" spans="1:14" x14ac:dyDescent="0.35">
      <c r="A529" s="6">
        <v>45820</v>
      </c>
      <c r="B529" s="7" t="s">
        <v>56</v>
      </c>
      <c r="C529" s="2" t="str">
        <f t="shared" si="56"/>
        <v>Jun</v>
      </c>
      <c r="D529" s="2" t="str">
        <f t="shared" si="57"/>
        <v>Peak</v>
      </c>
      <c r="E529" s="2" t="str">
        <f t="shared" si="58"/>
        <v>Thu</v>
      </c>
      <c r="F529" s="8">
        <v>106</v>
      </c>
      <c r="G529" s="8">
        <v>125</v>
      </c>
      <c r="H529" s="9">
        <v>13408</v>
      </c>
      <c r="I529" s="10">
        <v>152</v>
      </c>
      <c r="J529" s="11">
        <f t="shared" si="59"/>
        <v>0.84799999999999998</v>
      </c>
      <c r="K529" s="10">
        <f t="shared" si="60"/>
        <v>126.49056603773585</v>
      </c>
      <c r="L529" s="10">
        <f t="shared" si="61"/>
        <v>107.264</v>
      </c>
      <c r="M529" s="5">
        <f t="shared" si="62"/>
        <v>-25.509433962264154</v>
      </c>
      <c r="N529" s="1"/>
    </row>
    <row r="530" spans="1:14" x14ac:dyDescent="0.35">
      <c r="A530" s="6">
        <v>45821</v>
      </c>
      <c r="B530" s="7" t="s">
        <v>56</v>
      </c>
      <c r="C530" s="2" t="str">
        <f t="shared" si="56"/>
        <v>Jun</v>
      </c>
      <c r="D530" s="2" t="str">
        <f t="shared" si="57"/>
        <v>Peak</v>
      </c>
      <c r="E530" s="2" t="str">
        <f t="shared" si="58"/>
        <v>Fri</v>
      </c>
      <c r="F530" s="8">
        <v>101</v>
      </c>
      <c r="G530" s="8">
        <v>125</v>
      </c>
      <c r="H530" s="9">
        <v>16211</v>
      </c>
      <c r="I530" s="10">
        <v>166</v>
      </c>
      <c r="J530" s="11">
        <f t="shared" si="59"/>
        <v>0.80800000000000005</v>
      </c>
      <c r="K530" s="10">
        <f t="shared" si="60"/>
        <v>160.50495049504951</v>
      </c>
      <c r="L530" s="10">
        <f t="shared" si="61"/>
        <v>129.68799999999999</v>
      </c>
      <c r="M530" s="5">
        <f t="shared" si="62"/>
        <v>-5.4950495049504866</v>
      </c>
      <c r="N530" s="1"/>
    </row>
    <row r="531" spans="1:14" x14ac:dyDescent="0.35">
      <c r="A531" s="6">
        <v>45822</v>
      </c>
      <c r="B531" s="7" t="s">
        <v>56</v>
      </c>
      <c r="C531" s="2" t="str">
        <f t="shared" si="56"/>
        <v>Jun</v>
      </c>
      <c r="D531" s="2" t="str">
        <f t="shared" si="57"/>
        <v>Peak</v>
      </c>
      <c r="E531" s="2" t="str">
        <f t="shared" si="58"/>
        <v>Sat</v>
      </c>
      <c r="F531" s="8">
        <v>105</v>
      </c>
      <c r="G531" s="8">
        <v>125</v>
      </c>
      <c r="H531" s="9">
        <v>17555</v>
      </c>
      <c r="I531" s="10">
        <v>120</v>
      </c>
      <c r="J531" s="11">
        <f t="shared" si="59"/>
        <v>0.84</v>
      </c>
      <c r="K531" s="10">
        <f t="shared" si="60"/>
        <v>167.1904761904762</v>
      </c>
      <c r="L531" s="10">
        <f t="shared" si="61"/>
        <v>140.44</v>
      </c>
      <c r="M531" s="5">
        <f t="shared" si="62"/>
        <v>47.190476190476204</v>
      </c>
      <c r="N531" s="1"/>
    </row>
    <row r="532" spans="1:14" x14ac:dyDescent="0.35">
      <c r="A532" s="6">
        <v>45823</v>
      </c>
      <c r="B532" s="7" t="s">
        <v>56</v>
      </c>
      <c r="C532" s="2" t="str">
        <f t="shared" si="56"/>
        <v>Jun</v>
      </c>
      <c r="D532" s="2" t="str">
        <f t="shared" si="57"/>
        <v>Peak</v>
      </c>
      <c r="E532" s="2" t="str">
        <f t="shared" si="58"/>
        <v>Sun</v>
      </c>
      <c r="F532" s="8">
        <v>120</v>
      </c>
      <c r="G532" s="8">
        <v>125</v>
      </c>
      <c r="H532" s="9">
        <v>11041</v>
      </c>
      <c r="I532" s="10">
        <v>166</v>
      </c>
      <c r="J532" s="11">
        <f t="shared" si="59"/>
        <v>0.96</v>
      </c>
      <c r="K532" s="10">
        <f t="shared" si="60"/>
        <v>92.00833333333334</v>
      </c>
      <c r="L532" s="10">
        <f t="shared" si="61"/>
        <v>88.328000000000003</v>
      </c>
      <c r="M532" s="5">
        <f t="shared" si="62"/>
        <v>-73.99166666666666</v>
      </c>
      <c r="N532" s="1"/>
    </row>
    <row r="533" spans="1:14" x14ac:dyDescent="0.35">
      <c r="A533" s="6">
        <v>45824</v>
      </c>
      <c r="B533" s="7" t="s">
        <v>56</v>
      </c>
      <c r="C533" s="2" t="str">
        <f t="shared" si="56"/>
        <v>Jun</v>
      </c>
      <c r="D533" s="2" t="str">
        <f t="shared" si="57"/>
        <v>Peak</v>
      </c>
      <c r="E533" s="2" t="str">
        <f t="shared" si="58"/>
        <v>Mon</v>
      </c>
      <c r="F533" s="8">
        <v>103</v>
      </c>
      <c r="G533" s="8">
        <v>125</v>
      </c>
      <c r="H533" s="9">
        <v>23417</v>
      </c>
      <c r="I533" s="10">
        <v>158</v>
      </c>
      <c r="J533" s="11">
        <f t="shared" si="59"/>
        <v>0.82399999999999995</v>
      </c>
      <c r="K533" s="10">
        <f t="shared" si="60"/>
        <v>227.34951456310679</v>
      </c>
      <c r="L533" s="10">
        <f t="shared" si="61"/>
        <v>187.33600000000001</v>
      </c>
      <c r="M533" s="5">
        <f t="shared" si="62"/>
        <v>69.349514563106794</v>
      </c>
      <c r="N533" s="1"/>
    </row>
    <row r="534" spans="1:14" x14ac:dyDescent="0.35">
      <c r="A534" s="6">
        <v>45825</v>
      </c>
      <c r="B534" s="7" t="s">
        <v>56</v>
      </c>
      <c r="C534" s="2" t="str">
        <f t="shared" si="56"/>
        <v>Jun</v>
      </c>
      <c r="D534" s="2" t="str">
        <f t="shared" si="57"/>
        <v>Peak</v>
      </c>
      <c r="E534" s="2" t="str">
        <f t="shared" si="58"/>
        <v>Tue</v>
      </c>
      <c r="F534" s="8">
        <v>101</v>
      </c>
      <c r="G534" s="8">
        <v>125</v>
      </c>
      <c r="H534" s="9">
        <v>27340</v>
      </c>
      <c r="I534" s="10">
        <v>228</v>
      </c>
      <c r="J534" s="11">
        <f t="shared" si="59"/>
        <v>0.80800000000000005</v>
      </c>
      <c r="K534" s="10">
        <f t="shared" si="60"/>
        <v>270.69306930693068</v>
      </c>
      <c r="L534" s="10">
        <f t="shared" si="61"/>
        <v>218.72</v>
      </c>
      <c r="M534" s="5">
        <f t="shared" si="62"/>
        <v>42.693069306930681</v>
      </c>
      <c r="N534" s="1"/>
    </row>
    <row r="535" spans="1:14" x14ac:dyDescent="0.35">
      <c r="A535" s="6">
        <v>45826</v>
      </c>
      <c r="B535" s="7" t="s">
        <v>56</v>
      </c>
      <c r="C535" s="2" t="str">
        <f t="shared" si="56"/>
        <v>Jun</v>
      </c>
      <c r="D535" s="2" t="str">
        <f t="shared" si="57"/>
        <v>Peak</v>
      </c>
      <c r="E535" s="2" t="str">
        <f t="shared" si="58"/>
        <v>Wed</v>
      </c>
      <c r="F535" s="8">
        <v>108</v>
      </c>
      <c r="G535" s="8">
        <v>125</v>
      </c>
      <c r="H535" s="9">
        <v>21098</v>
      </c>
      <c r="I535" s="10">
        <v>248</v>
      </c>
      <c r="J535" s="11">
        <f t="shared" si="59"/>
        <v>0.86399999999999999</v>
      </c>
      <c r="K535" s="10">
        <f t="shared" si="60"/>
        <v>195.35185185185185</v>
      </c>
      <c r="L535" s="10">
        <f t="shared" si="61"/>
        <v>168.78399999999999</v>
      </c>
      <c r="M535" s="5">
        <f t="shared" si="62"/>
        <v>-52.648148148148152</v>
      </c>
      <c r="N535" s="1"/>
    </row>
    <row r="536" spans="1:14" x14ac:dyDescent="0.35">
      <c r="A536" s="6">
        <v>45827</v>
      </c>
      <c r="B536" s="7" t="s">
        <v>56</v>
      </c>
      <c r="C536" s="2" t="str">
        <f t="shared" si="56"/>
        <v>Jun</v>
      </c>
      <c r="D536" s="2" t="str">
        <f t="shared" si="57"/>
        <v>Peak</v>
      </c>
      <c r="E536" s="2" t="str">
        <f t="shared" si="58"/>
        <v>Thu</v>
      </c>
      <c r="F536" s="8">
        <v>96</v>
      </c>
      <c r="G536" s="8">
        <v>125</v>
      </c>
      <c r="H536" s="9">
        <v>21955</v>
      </c>
      <c r="I536" s="10">
        <v>204</v>
      </c>
      <c r="J536" s="11">
        <f t="shared" si="59"/>
        <v>0.76800000000000002</v>
      </c>
      <c r="K536" s="10">
        <f t="shared" si="60"/>
        <v>228.69791666666666</v>
      </c>
      <c r="L536" s="10">
        <f t="shared" si="61"/>
        <v>175.64</v>
      </c>
      <c r="M536" s="5">
        <f t="shared" si="62"/>
        <v>24.697916666666657</v>
      </c>
      <c r="N536" s="1"/>
    </row>
    <row r="537" spans="1:14" x14ac:dyDescent="0.35">
      <c r="A537" s="6">
        <v>45828</v>
      </c>
      <c r="B537" s="7" t="s">
        <v>56</v>
      </c>
      <c r="C537" s="2" t="str">
        <f t="shared" si="56"/>
        <v>Jun</v>
      </c>
      <c r="D537" s="2" t="str">
        <f t="shared" si="57"/>
        <v>Peak</v>
      </c>
      <c r="E537" s="2" t="str">
        <f t="shared" si="58"/>
        <v>Fri</v>
      </c>
      <c r="F537" s="8">
        <v>112</v>
      </c>
      <c r="G537" s="8">
        <v>125</v>
      </c>
      <c r="H537" s="9">
        <v>23402</v>
      </c>
      <c r="I537" s="10">
        <v>210</v>
      </c>
      <c r="J537" s="11">
        <f t="shared" si="59"/>
        <v>0.89600000000000002</v>
      </c>
      <c r="K537" s="10">
        <f t="shared" si="60"/>
        <v>208.94642857142858</v>
      </c>
      <c r="L537" s="10">
        <f t="shared" si="61"/>
        <v>187.21600000000001</v>
      </c>
      <c r="M537" s="5">
        <f t="shared" si="62"/>
        <v>-1.0535714285714164</v>
      </c>
      <c r="N537" s="1" t="s">
        <v>16</v>
      </c>
    </row>
    <row r="538" spans="1:14" x14ac:dyDescent="0.35">
      <c r="A538" s="6">
        <v>45829</v>
      </c>
      <c r="B538" s="7" t="s">
        <v>56</v>
      </c>
      <c r="C538" s="2" t="str">
        <f t="shared" si="56"/>
        <v>Jun</v>
      </c>
      <c r="D538" s="2" t="str">
        <f t="shared" si="57"/>
        <v>Peak</v>
      </c>
      <c r="E538" s="2" t="str">
        <f t="shared" si="58"/>
        <v>Sat</v>
      </c>
      <c r="F538" s="8">
        <v>100</v>
      </c>
      <c r="G538" s="8">
        <v>125</v>
      </c>
      <c r="H538" s="9">
        <v>19427</v>
      </c>
      <c r="I538" s="10">
        <v>232</v>
      </c>
      <c r="J538" s="11">
        <f t="shared" si="59"/>
        <v>0.8</v>
      </c>
      <c r="K538" s="10">
        <f t="shared" si="60"/>
        <v>194.27</v>
      </c>
      <c r="L538" s="10">
        <f t="shared" si="61"/>
        <v>155.416</v>
      </c>
      <c r="M538" s="5">
        <f t="shared" si="62"/>
        <v>-37.72999999999999</v>
      </c>
      <c r="N538" s="1" t="s">
        <v>16</v>
      </c>
    </row>
    <row r="539" spans="1:14" x14ac:dyDescent="0.35">
      <c r="A539" s="6">
        <v>45830</v>
      </c>
      <c r="B539" s="7" t="s">
        <v>56</v>
      </c>
      <c r="C539" s="2" t="str">
        <f t="shared" si="56"/>
        <v>Jun</v>
      </c>
      <c r="D539" s="2" t="str">
        <f t="shared" si="57"/>
        <v>Peak</v>
      </c>
      <c r="E539" s="2" t="str">
        <f t="shared" si="58"/>
        <v>Sun</v>
      </c>
      <c r="F539" s="8">
        <v>108</v>
      </c>
      <c r="G539" s="8">
        <v>125</v>
      </c>
      <c r="H539" s="9">
        <v>34079</v>
      </c>
      <c r="I539" s="10">
        <v>146</v>
      </c>
      <c r="J539" s="11">
        <f t="shared" si="59"/>
        <v>0.86399999999999999</v>
      </c>
      <c r="K539" s="10">
        <f t="shared" si="60"/>
        <v>315.5462962962963</v>
      </c>
      <c r="L539" s="10">
        <f t="shared" si="61"/>
        <v>272.63200000000001</v>
      </c>
      <c r="M539" s="5">
        <f t="shared" si="62"/>
        <v>169.5462962962963</v>
      </c>
      <c r="N539" s="1"/>
    </row>
    <row r="540" spans="1:14" x14ac:dyDescent="0.35">
      <c r="A540" s="6">
        <v>45831</v>
      </c>
      <c r="B540" s="7" t="s">
        <v>56</v>
      </c>
      <c r="C540" s="2" t="str">
        <f t="shared" si="56"/>
        <v>Jun</v>
      </c>
      <c r="D540" s="2" t="str">
        <f t="shared" si="57"/>
        <v>Peak</v>
      </c>
      <c r="E540" s="2" t="str">
        <f t="shared" si="58"/>
        <v>Mon</v>
      </c>
      <c r="F540" s="8">
        <v>108</v>
      </c>
      <c r="G540" s="8">
        <v>125</v>
      </c>
      <c r="H540" s="9">
        <v>12965</v>
      </c>
      <c r="I540" s="10">
        <v>125</v>
      </c>
      <c r="J540" s="11">
        <f t="shared" si="59"/>
        <v>0.86399999999999999</v>
      </c>
      <c r="K540" s="10">
        <f t="shared" si="60"/>
        <v>120.04629629629629</v>
      </c>
      <c r="L540" s="10">
        <f t="shared" si="61"/>
        <v>103.72</v>
      </c>
      <c r="M540" s="5">
        <f t="shared" si="62"/>
        <v>-4.9537037037037095</v>
      </c>
      <c r="N540" s="1"/>
    </row>
    <row r="541" spans="1:14" x14ac:dyDescent="0.35">
      <c r="A541" s="6">
        <v>45832</v>
      </c>
      <c r="B541" s="7" t="s">
        <v>56</v>
      </c>
      <c r="C541" s="2" t="str">
        <f t="shared" si="56"/>
        <v>Jun</v>
      </c>
      <c r="D541" s="2" t="str">
        <f t="shared" si="57"/>
        <v>Peak</v>
      </c>
      <c r="E541" s="2" t="str">
        <f t="shared" si="58"/>
        <v>Tue</v>
      </c>
      <c r="F541" s="8">
        <v>107</v>
      </c>
      <c r="G541" s="8">
        <v>125</v>
      </c>
      <c r="H541" s="9">
        <v>29345</v>
      </c>
      <c r="I541" s="10">
        <v>236</v>
      </c>
      <c r="J541" s="11">
        <f t="shared" si="59"/>
        <v>0.85599999999999998</v>
      </c>
      <c r="K541" s="10">
        <f t="shared" si="60"/>
        <v>274.25233644859816</v>
      </c>
      <c r="L541" s="10">
        <f t="shared" si="61"/>
        <v>234.76</v>
      </c>
      <c r="M541" s="5">
        <f t="shared" si="62"/>
        <v>38.252336448598157</v>
      </c>
      <c r="N541" s="1"/>
    </row>
    <row r="542" spans="1:14" x14ac:dyDescent="0.35">
      <c r="A542" s="6">
        <v>45833</v>
      </c>
      <c r="B542" s="7" t="s">
        <v>56</v>
      </c>
      <c r="C542" s="2" t="str">
        <f t="shared" si="56"/>
        <v>Jun</v>
      </c>
      <c r="D542" s="2" t="str">
        <f t="shared" si="57"/>
        <v>Peak</v>
      </c>
      <c r="E542" s="2" t="str">
        <f t="shared" si="58"/>
        <v>Wed</v>
      </c>
      <c r="F542" s="8">
        <v>112</v>
      </c>
      <c r="G542" s="8">
        <v>125</v>
      </c>
      <c r="H542" s="9">
        <v>13919</v>
      </c>
      <c r="I542" s="10">
        <v>207</v>
      </c>
      <c r="J542" s="11">
        <f t="shared" si="59"/>
        <v>0.89600000000000002</v>
      </c>
      <c r="K542" s="10">
        <f t="shared" si="60"/>
        <v>124.27678571428571</v>
      </c>
      <c r="L542" s="10">
        <f t="shared" si="61"/>
        <v>111.352</v>
      </c>
      <c r="M542" s="5">
        <f t="shared" si="62"/>
        <v>-82.723214285714292</v>
      </c>
      <c r="N542" s="1"/>
    </row>
    <row r="543" spans="1:14" x14ac:dyDescent="0.35">
      <c r="A543" s="6">
        <v>45834</v>
      </c>
      <c r="B543" s="7" t="s">
        <v>56</v>
      </c>
      <c r="C543" s="2" t="str">
        <f t="shared" si="56"/>
        <v>Jun</v>
      </c>
      <c r="D543" s="2" t="str">
        <f t="shared" si="57"/>
        <v>Peak</v>
      </c>
      <c r="E543" s="2" t="str">
        <f t="shared" si="58"/>
        <v>Thu</v>
      </c>
      <c r="F543" s="8">
        <v>94</v>
      </c>
      <c r="G543" s="8">
        <v>125</v>
      </c>
      <c r="H543" s="9">
        <v>19614</v>
      </c>
      <c r="I543" s="10">
        <v>175</v>
      </c>
      <c r="J543" s="11">
        <f t="shared" si="59"/>
        <v>0.752</v>
      </c>
      <c r="K543" s="10">
        <f t="shared" si="60"/>
        <v>208.65957446808511</v>
      </c>
      <c r="L543" s="10">
        <f t="shared" si="61"/>
        <v>156.91200000000001</v>
      </c>
      <c r="M543" s="5">
        <f t="shared" si="62"/>
        <v>33.659574468085111</v>
      </c>
      <c r="N543" s="1"/>
    </row>
    <row r="544" spans="1:14" x14ac:dyDescent="0.35">
      <c r="A544" s="6">
        <v>45835</v>
      </c>
      <c r="B544" s="7" t="s">
        <v>56</v>
      </c>
      <c r="C544" s="2" t="str">
        <f t="shared" si="56"/>
        <v>Jun</v>
      </c>
      <c r="D544" s="2" t="str">
        <f t="shared" si="57"/>
        <v>Peak</v>
      </c>
      <c r="E544" s="2" t="str">
        <f t="shared" si="58"/>
        <v>Fri</v>
      </c>
      <c r="F544" s="8">
        <v>119</v>
      </c>
      <c r="G544" s="8">
        <v>125</v>
      </c>
      <c r="H544" s="9">
        <v>12485</v>
      </c>
      <c r="I544" s="10">
        <v>179</v>
      </c>
      <c r="J544" s="11">
        <f t="shared" si="59"/>
        <v>0.95199999999999996</v>
      </c>
      <c r="K544" s="10">
        <f t="shared" si="60"/>
        <v>104.91596638655462</v>
      </c>
      <c r="L544" s="10">
        <f t="shared" si="61"/>
        <v>99.88</v>
      </c>
      <c r="M544" s="5">
        <f t="shared" si="62"/>
        <v>-74.084033613445385</v>
      </c>
      <c r="N544" s="1"/>
    </row>
    <row r="545" spans="1:14" x14ac:dyDescent="0.35">
      <c r="A545" s="6">
        <v>45836</v>
      </c>
      <c r="B545" s="7" t="s">
        <v>56</v>
      </c>
      <c r="C545" s="2" t="str">
        <f t="shared" si="56"/>
        <v>Jun</v>
      </c>
      <c r="D545" s="2" t="str">
        <f t="shared" si="57"/>
        <v>Peak</v>
      </c>
      <c r="E545" s="2" t="str">
        <f t="shared" si="58"/>
        <v>Sat</v>
      </c>
      <c r="F545" s="8">
        <v>107</v>
      </c>
      <c r="G545" s="8">
        <v>125</v>
      </c>
      <c r="H545" s="9">
        <v>17852</v>
      </c>
      <c r="I545" s="10">
        <v>234</v>
      </c>
      <c r="J545" s="11">
        <f t="shared" si="59"/>
        <v>0.85599999999999998</v>
      </c>
      <c r="K545" s="10">
        <f t="shared" si="60"/>
        <v>166.84112149532712</v>
      </c>
      <c r="L545" s="10">
        <f t="shared" si="61"/>
        <v>142.816</v>
      </c>
      <c r="M545" s="5">
        <f t="shared" si="62"/>
        <v>-67.158878504672884</v>
      </c>
      <c r="N545" s="1"/>
    </row>
    <row r="546" spans="1:14" x14ac:dyDescent="0.35">
      <c r="A546" s="6">
        <v>45837</v>
      </c>
      <c r="B546" s="7" t="s">
        <v>56</v>
      </c>
      <c r="C546" s="2" t="str">
        <f t="shared" si="56"/>
        <v>Jun</v>
      </c>
      <c r="D546" s="2" t="str">
        <f t="shared" si="57"/>
        <v>Peak</v>
      </c>
      <c r="E546" s="2" t="str">
        <f t="shared" si="58"/>
        <v>Sun</v>
      </c>
      <c r="F546" s="8">
        <v>106</v>
      </c>
      <c r="G546" s="8">
        <v>125</v>
      </c>
      <c r="H546" s="9">
        <v>27283</v>
      </c>
      <c r="I546" s="10">
        <v>137</v>
      </c>
      <c r="J546" s="11">
        <f t="shared" si="59"/>
        <v>0.84799999999999998</v>
      </c>
      <c r="K546" s="10">
        <f t="shared" si="60"/>
        <v>257.38679245283021</v>
      </c>
      <c r="L546" s="10">
        <f t="shared" si="61"/>
        <v>218.26400000000001</v>
      </c>
      <c r="M546" s="5">
        <f t="shared" si="62"/>
        <v>120.38679245283021</v>
      </c>
      <c r="N546" s="1"/>
    </row>
    <row r="547" spans="1:14" x14ac:dyDescent="0.35">
      <c r="A547" s="6">
        <v>45838</v>
      </c>
      <c r="B547" s="7" t="s">
        <v>56</v>
      </c>
      <c r="C547" s="2" t="str">
        <f t="shared" si="56"/>
        <v>Jun</v>
      </c>
      <c r="D547" s="2" t="str">
        <f t="shared" si="57"/>
        <v>Peak</v>
      </c>
      <c r="E547" s="2" t="str">
        <f t="shared" si="58"/>
        <v>Mon</v>
      </c>
      <c r="F547" s="8">
        <v>113</v>
      </c>
      <c r="G547" s="8">
        <v>125</v>
      </c>
      <c r="H547" s="9">
        <v>25766</v>
      </c>
      <c r="I547" s="10">
        <v>248</v>
      </c>
      <c r="J547" s="11">
        <f t="shared" si="59"/>
        <v>0.90400000000000003</v>
      </c>
      <c r="K547" s="10">
        <f t="shared" si="60"/>
        <v>228.01769911504425</v>
      </c>
      <c r="L547" s="10">
        <f t="shared" si="61"/>
        <v>206.12799999999999</v>
      </c>
      <c r="M547" s="5">
        <f t="shared" si="62"/>
        <v>-19.982300884955748</v>
      </c>
      <c r="N547" s="1"/>
    </row>
    <row r="548" spans="1:14" x14ac:dyDescent="0.35">
      <c r="A548" s="6">
        <v>45839</v>
      </c>
      <c r="B548" s="7" t="s">
        <v>56</v>
      </c>
      <c r="C548" s="2" t="str">
        <f t="shared" si="56"/>
        <v>Jul</v>
      </c>
      <c r="D548" s="2" t="str">
        <f t="shared" si="57"/>
        <v>Peak</v>
      </c>
      <c r="E548" s="2" t="str">
        <f t="shared" si="58"/>
        <v>Tue</v>
      </c>
      <c r="F548" s="8">
        <v>120</v>
      </c>
      <c r="G548" s="8">
        <v>125</v>
      </c>
      <c r="H548" s="9">
        <v>25071</v>
      </c>
      <c r="I548" s="10">
        <v>219</v>
      </c>
      <c r="J548" s="11">
        <f t="shared" si="59"/>
        <v>0.96</v>
      </c>
      <c r="K548" s="10">
        <f t="shared" si="60"/>
        <v>208.92500000000001</v>
      </c>
      <c r="L548" s="10">
        <f t="shared" si="61"/>
        <v>200.56800000000001</v>
      </c>
      <c r="M548" s="5">
        <f t="shared" si="62"/>
        <v>-10.074999999999989</v>
      </c>
      <c r="N548" s="1"/>
    </row>
    <row r="549" spans="1:14" x14ac:dyDescent="0.35">
      <c r="A549" s="6">
        <v>45840</v>
      </c>
      <c r="B549" s="7" t="s">
        <v>56</v>
      </c>
      <c r="C549" s="2" t="str">
        <f t="shared" si="56"/>
        <v>Jul</v>
      </c>
      <c r="D549" s="2" t="str">
        <f t="shared" si="57"/>
        <v>Peak</v>
      </c>
      <c r="E549" s="2" t="str">
        <f t="shared" si="58"/>
        <v>Wed</v>
      </c>
      <c r="F549" s="8">
        <v>108</v>
      </c>
      <c r="G549" s="8">
        <v>125</v>
      </c>
      <c r="H549" s="9">
        <v>18814</v>
      </c>
      <c r="I549" s="10">
        <v>125</v>
      </c>
      <c r="J549" s="11">
        <f t="shared" si="59"/>
        <v>0.86399999999999999</v>
      </c>
      <c r="K549" s="10">
        <f t="shared" si="60"/>
        <v>174.2037037037037</v>
      </c>
      <c r="L549" s="10">
        <f t="shared" si="61"/>
        <v>150.512</v>
      </c>
      <c r="M549" s="5">
        <f t="shared" si="62"/>
        <v>49.203703703703695</v>
      </c>
      <c r="N549" s="1"/>
    </row>
    <row r="550" spans="1:14" x14ac:dyDescent="0.35">
      <c r="A550" s="6">
        <v>45841</v>
      </c>
      <c r="B550" s="7" t="s">
        <v>56</v>
      </c>
      <c r="C550" s="2" t="str">
        <f t="shared" si="56"/>
        <v>Jul</v>
      </c>
      <c r="D550" s="2" t="str">
        <f t="shared" si="57"/>
        <v>Peak</v>
      </c>
      <c r="E550" s="2" t="str">
        <f t="shared" si="58"/>
        <v>Thu</v>
      </c>
      <c r="F550" s="8">
        <v>99</v>
      </c>
      <c r="G550" s="8">
        <v>125</v>
      </c>
      <c r="H550" s="9">
        <v>24711</v>
      </c>
      <c r="I550" s="10">
        <v>250</v>
      </c>
      <c r="J550" s="11">
        <f t="shared" si="59"/>
        <v>0.79200000000000004</v>
      </c>
      <c r="K550" s="10">
        <f t="shared" si="60"/>
        <v>249.60606060606059</v>
      </c>
      <c r="L550" s="10">
        <f t="shared" si="61"/>
        <v>197.68799999999999</v>
      </c>
      <c r="M550" s="5">
        <f t="shared" si="62"/>
        <v>-0.39393939393940514</v>
      </c>
      <c r="N550" s="1"/>
    </row>
    <row r="551" spans="1:14" x14ac:dyDescent="0.35">
      <c r="A551" s="6">
        <v>45842</v>
      </c>
      <c r="B551" s="7" t="s">
        <v>56</v>
      </c>
      <c r="C551" s="2" t="str">
        <f t="shared" si="56"/>
        <v>Jul</v>
      </c>
      <c r="D551" s="2" t="str">
        <f t="shared" si="57"/>
        <v>Peak</v>
      </c>
      <c r="E551" s="2" t="str">
        <f t="shared" si="58"/>
        <v>Fri</v>
      </c>
      <c r="F551" s="8">
        <v>104</v>
      </c>
      <c r="G551" s="8">
        <v>125</v>
      </c>
      <c r="H551" s="9">
        <v>20541</v>
      </c>
      <c r="I551" s="10">
        <v>125</v>
      </c>
      <c r="J551" s="11">
        <f t="shared" si="59"/>
        <v>0.83199999999999996</v>
      </c>
      <c r="K551" s="10">
        <f t="shared" si="60"/>
        <v>197.50961538461539</v>
      </c>
      <c r="L551" s="10">
        <f t="shared" si="61"/>
        <v>164.328</v>
      </c>
      <c r="M551" s="5">
        <f t="shared" si="62"/>
        <v>72.509615384615387</v>
      </c>
      <c r="N551" s="1" t="s">
        <v>16</v>
      </c>
    </row>
    <row r="552" spans="1:14" x14ac:dyDescent="0.35">
      <c r="A552" s="6">
        <v>45843</v>
      </c>
      <c r="B552" s="7" t="s">
        <v>56</v>
      </c>
      <c r="C552" s="2" t="str">
        <f t="shared" si="56"/>
        <v>Jul</v>
      </c>
      <c r="D552" s="2" t="str">
        <f t="shared" si="57"/>
        <v>Peak</v>
      </c>
      <c r="E552" s="2" t="str">
        <f t="shared" si="58"/>
        <v>Sat</v>
      </c>
      <c r="F552" s="8">
        <v>110</v>
      </c>
      <c r="G552" s="8">
        <v>125</v>
      </c>
      <c r="H552" s="9">
        <v>29432</v>
      </c>
      <c r="I552" s="10">
        <v>217</v>
      </c>
      <c r="J552" s="11">
        <f t="shared" si="59"/>
        <v>0.88</v>
      </c>
      <c r="K552" s="10">
        <f t="shared" si="60"/>
        <v>267.56363636363636</v>
      </c>
      <c r="L552" s="10">
        <f t="shared" si="61"/>
        <v>235.45599999999999</v>
      </c>
      <c r="M552" s="5">
        <f t="shared" si="62"/>
        <v>50.563636363636363</v>
      </c>
      <c r="N552" s="1" t="s">
        <v>16</v>
      </c>
    </row>
    <row r="553" spans="1:14" x14ac:dyDescent="0.35">
      <c r="A553" s="6">
        <v>45844</v>
      </c>
      <c r="B553" s="7" t="s">
        <v>56</v>
      </c>
      <c r="C553" s="2" t="str">
        <f t="shared" si="56"/>
        <v>Jul</v>
      </c>
      <c r="D553" s="2" t="str">
        <f t="shared" si="57"/>
        <v>Peak</v>
      </c>
      <c r="E553" s="2" t="str">
        <f t="shared" si="58"/>
        <v>Sun</v>
      </c>
      <c r="F553" s="8">
        <v>98</v>
      </c>
      <c r="G553" s="8">
        <v>125</v>
      </c>
      <c r="H553" s="9">
        <v>12587</v>
      </c>
      <c r="I553" s="10">
        <v>225</v>
      </c>
      <c r="J553" s="11">
        <f t="shared" si="59"/>
        <v>0.78400000000000003</v>
      </c>
      <c r="K553" s="10">
        <f t="shared" si="60"/>
        <v>128.4387755102041</v>
      </c>
      <c r="L553" s="10">
        <f t="shared" si="61"/>
        <v>100.696</v>
      </c>
      <c r="M553" s="5">
        <f t="shared" si="62"/>
        <v>-96.561224489795904</v>
      </c>
      <c r="N553" s="1"/>
    </row>
    <row r="554" spans="1:14" x14ac:dyDescent="0.35">
      <c r="A554" s="6">
        <v>45845</v>
      </c>
      <c r="B554" s="7" t="s">
        <v>56</v>
      </c>
      <c r="C554" s="2" t="str">
        <f t="shared" si="56"/>
        <v>Jul</v>
      </c>
      <c r="D554" s="2" t="str">
        <f t="shared" si="57"/>
        <v>Peak</v>
      </c>
      <c r="E554" s="2" t="str">
        <f t="shared" si="58"/>
        <v>Mon</v>
      </c>
      <c r="F554" s="8">
        <v>103</v>
      </c>
      <c r="G554" s="8">
        <v>125</v>
      </c>
      <c r="H554" s="9">
        <v>27798</v>
      </c>
      <c r="I554" s="10">
        <v>236</v>
      </c>
      <c r="J554" s="11">
        <f t="shared" si="59"/>
        <v>0.82399999999999995</v>
      </c>
      <c r="K554" s="10">
        <f t="shared" si="60"/>
        <v>269.88349514563106</v>
      </c>
      <c r="L554" s="10">
        <f t="shared" si="61"/>
        <v>222.38399999999999</v>
      </c>
      <c r="M554" s="5">
        <f t="shared" si="62"/>
        <v>33.883495145631059</v>
      </c>
      <c r="N554" s="1"/>
    </row>
    <row r="555" spans="1:14" x14ac:dyDescent="0.35">
      <c r="A555" s="6">
        <v>45846</v>
      </c>
      <c r="B555" s="7" t="s">
        <v>56</v>
      </c>
      <c r="C555" s="2" t="str">
        <f t="shared" si="56"/>
        <v>Jul</v>
      </c>
      <c r="D555" s="2" t="str">
        <f t="shared" si="57"/>
        <v>Peak</v>
      </c>
      <c r="E555" s="2" t="str">
        <f t="shared" si="58"/>
        <v>Tue</v>
      </c>
      <c r="F555" s="8">
        <v>98</v>
      </c>
      <c r="G555" s="8">
        <v>125</v>
      </c>
      <c r="H555" s="9">
        <v>12705</v>
      </c>
      <c r="I555" s="10">
        <v>142</v>
      </c>
      <c r="J555" s="11">
        <f t="shared" si="59"/>
        <v>0.78400000000000003</v>
      </c>
      <c r="K555" s="10">
        <f t="shared" si="60"/>
        <v>129.64285714285714</v>
      </c>
      <c r="L555" s="10">
        <f t="shared" si="61"/>
        <v>101.64</v>
      </c>
      <c r="M555" s="5">
        <f t="shared" si="62"/>
        <v>-12.357142857142861</v>
      </c>
      <c r="N555" s="1"/>
    </row>
    <row r="556" spans="1:14" x14ac:dyDescent="0.35">
      <c r="A556" s="6">
        <v>45847</v>
      </c>
      <c r="B556" s="7" t="s">
        <v>56</v>
      </c>
      <c r="C556" s="2" t="str">
        <f t="shared" si="56"/>
        <v>Jul</v>
      </c>
      <c r="D556" s="2" t="str">
        <f t="shared" si="57"/>
        <v>Peak</v>
      </c>
      <c r="E556" s="2" t="str">
        <f t="shared" si="58"/>
        <v>Wed</v>
      </c>
      <c r="F556" s="8">
        <v>116</v>
      </c>
      <c r="G556" s="8">
        <v>125</v>
      </c>
      <c r="H556" s="9">
        <v>13238</v>
      </c>
      <c r="I556" s="10">
        <v>151</v>
      </c>
      <c r="J556" s="11">
        <f t="shared" si="59"/>
        <v>0.92800000000000005</v>
      </c>
      <c r="K556" s="10">
        <f t="shared" si="60"/>
        <v>114.12068965517241</v>
      </c>
      <c r="L556" s="10">
        <f t="shared" si="61"/>
        <v>105.904</v>
      </c>
      <c r="M556" s="5">
        <f t="shared" si="62"/>
        <v>-36.879310344827587</v>
      </c>
      <c r="N556" s="1"/>
    </row>
    <row r="557" spans="1:14" x14ac:dyDescent="0.35">
      <c r="A557" s="6">
        <v>45848</v>
      </c>
      <c r="B557" s="7" t="s">
        <v>56</v>
      </c>
      <c r="C557" s="2" t="str">
        <f t="shared" si="56"/>
        <v>Jul</v>
      </c>
      <c r="D557" s="2" t="str">
        <f t="shared" si="57"/>
        <v>Peak</v>
      </c>
      <c r="E557" s="2" t="str">
        <f t="shared" si="58"/>
        <v>Thu</v>
      </c>
      <c r="F557" s="8">
        <v>93</v>
      </c>
      <c r="G557" s="8">
        <v>125</v>
      </c>
      <c r="H557" s="9">
        <v>26294</v>
      </c>
      <c r="I557" s="10">
        <v>121</v>
      </c>
      <c r="J557" s="11">
        <f t="shared" si="59"/>
        <v>0.74399999999999999</v>
      </c>
      <c r="K557" s="10">
        <f t="shared" si="60"/>
        <v>282.73118279569894</v>
      </c>
      <c r="L557" s="10">
        <f t="shared" si="61"/>
        <v>210.352</v>
      </c>
      <c r="M557" s="5">
        <f t="shared" si="62"/>
        <v>161.73118279569894</v>
      </c>
      <c r="N557" s="1"/>
    </row>
    <row r="558" spans="1:14" x14ac:dyDescent="0.35">
      <c r="A558" s="6">
        <v>45849</v>
      </c>
      <c r="B558" s="7" t="s">
        <v>56</v>
      </c>
      <c r="C558" s="2" t="str">
        <f t="shared" si="56"/>
        <v>Jul</v>
      </c>
      <c r="D558" s="2" t="str">
        <f t="shared" si="57"/>
        <v>Peak</v>
      </c>
      <c r="E558" s="2" t="str">
        <f t="shared" si="58"/>
        <v>Fri</v>
      </c>
      <c r="F558" s="8">
        <v>116</v>
      </c>
      <c r="G558" s="8">
        <v>125</v>
      </c>
      <c r="H558" s="9">
        <v>18219</v>
      </c>
      <c r="I558" s="10">
        <v>153</v>
      </c>
      <c r="J558" s="11">
        <f t="shared" si="59"/>
        <v>0.92800000000000005</v>
      </c>
      <c r="K558" s="10">
        <f t="shared" si="60"/>
        <v>157.06034482758622</v>
      </c>
      <c r="L558" s="10">
        <f t="shared" si="61"/>
        <v>145.75200000000001</v>
      </c>
      <c r="M558" s="5">
        <f t="shared" si="62"/>
        <v>4.0603448275862206</v>
      </c>
      <c r="N558" s="1" t="s">
        <v>16</v>
      </c>
    </row>
    <row r="559" spans="1:14" x14ac:dyDescent="0.35">
      <c r="A559" s="6">
        <v>45850</v>
      </c>
      <c r="B559" s="7" t="s">
        <v>56</v>
      </c>
      <c r="C559" s="2" t="str">
        <f t="shared" si="56"/>
        <v>Jul</v>
      </c>
      <c r="D559" s="2" t="str">
        <f t="shared" si="57"/>
        <v>Peak</v>
      </c>
      <c r="E559" s="2" t="str">
        <f t="shared" si="58"/>
        <v>Sat</v>
      </c>
      <c r="F559" s="8">
        <v>96</v>
      </c>
      <c r="G559" s="8">
        <v>125</v>
      </c>
      <c r="H559" s="9">
        <v>12916</v>
      </c>
      <c r="I559" s="10">
        <v>141</v>
      </c>
      <c r="J559" s="11">
        <f t="shared" si="59"/>
        <v>0.76800000000000002</v>
      </c>
      <c r="K559" s="10">
        <f t="shared" si="60"/>
        <v>134.54166666666666</v>
      </c>
      <c r="L559" s="10">
        <f t="shared" si="61"/>
        <v>103.328</v>
      </c>
      <c r="M559" s="5">
        <f t="shared" si="62"/>
        <v>-6.4583333333333428</v>
      </c>
      <c r="N559" s="1" t="s">
        <v>16</v>
      </c>
    </row>
    <row r="560" spans="1:14" x14ac:dyDescent="0.35">
      <c r="A560" s="6">
        <v>45851</v>
      </c>
      <c r="B560" s="7" t="s">
        <v>56</v>
      </c>
      <c r="C560" s="2" t="str">
        <f t="shared" si="56"/>
        <v>Jul</v>
      </c>
      <c r="D560" s="2" t="str">
        <f t="shared" si="57"/>
        <v>Peak</v>
      </c>
      <c r="E560" s="2" t="str">
        <f t="shared" si="58"/>
        <v>Sun</v>
      </c>
      <c r="F560" s="8">
        <v>96</v>
      </c>
      <c r="G560" s="8">
        <v>125</v>
      </c>
      <c r="H560" s="9">
        <v>28805</v>
      </c>
      <c r="I560" s="10">
        <v>145</v>
      </c>
      <c r="J560" s="11">
        <f t="shared" si="59"/>
        <v>0.76800000000000002</v>
      </c>
      <c r="K560" s="10">
        <f t="shared" si="60"/>
        <v>300.05208333333331</v>
      </c>
      <c r="L560" s="10">
        <f t="shared" si="61"/>
        <v>230.44</v>
      </c>
      <c r="M560" s="5">
        <f t="shared" si="62"/>
        <v>155.05208333333331</v>
      </c>
      <c r="N560" s="1"/>
    </row>
    <row r="561" spans="1:14" x14ac:dyDescent="0.35">
      <c r="A561" s="6">
        <v>45852</v>
      </c>
      <c r="B561" s="7" t="s">
        <v>56</v>
      </c>
      <c r="C561" s="2" t="str">
        <f t="shared" si="56"/>
        <v>Jul</v>
      </c>
      <c r="D561" s="2" t="str">
        <f t="shared" si="57"/>
        <v>Peak</v>
      </c>
      <c r="E561" s="2" t="str">
        <f t="shared" si="58"/>
        <v>Mon</v>
      </c>
      <c r="F561" s="8">
        <v>103</v>
      </c>
      <c r="G561" s="8">
        <v>125</v>
      </c>
      <c r="H561" s="9">
        <v>33820</v>
      </c>
      <c r="I561" s="10">
        <v>137</v>
      </c>
      <c r="J561" s="11">
        <f t="shared" si="59"/>
        <v>0.82399999999999995</v>
      </c>
      <c r="K561" s="10">
        <f t="shared" si="60"/>
        <v>328.34951456310682</v>
      </c>
      <c r="L561" s="10">
        <f t="shared" si="61"/>
        <v>270.56</v>
      </c>
      <c r="M561" s="5">
        <f t="shared" si="62"/>
        <v>191.34951456310682</v>
      </c>
      <c r="N561" s="1"/>
    </row>
    <row r="562" spans="1:14" x14ac:dyDescent="0.35">
      <c r="A562" s="6">
        <v>45853</v>
      </c>
      <c r="B562" s="7" t="s">
        <v>56</v>
      </c>
      <c r="C562" s="2" t="str">
        <f t="shared" si="56"/>
        <v>Jul</v>
      </c>
      <c r="D562" s="2" t="str">
        <f t="shared" si="57"/>
        <v>Peak</v>
      </c>
      <c r="E562" s="2" t="str">
        <f t="shared" si="58"/>
        <v>Tue</v>
      </c>
      <c r="F562" s="8">
        <v>107</v>
      </c>
      <c r="G562" s="8">
        <v>125</v>
      </c>
      <c r="H562" s="9">
        <v>32705</v>
      </c>
      <c r="I562" s="10">
        <v>184</v>
      </c>
      <c r="J562" s="11">
        <f t="shared" si="59"/>
        <v>0.85599999999999998</v>
      </c>
      <c r="K562" s="10">
        <f t="shared" si="60"/>
        <v>305.65420560747663</v>
      </c>
      <c r="L562" s="10">
        <f t="shared" si="61"/>
        <v>261.64</v>
      </c>
      <c r="M562" s="5">
        <f t="shared" si="62"/>
        <v>121.65420560747663</v>
      </c>
      <c r="N562" s="1"/>
    </row>
    <row r="563" spans="1:14" x14ac:dyDescent="0.35">
      <c r="A563" s="6">
        <v>45854</v>
      </c>
      <c r="B563" s="7" t="s">
        <v>56</v>
      </c>
      <c r="C563" s="2" t="str">
        <f t="shared" si="56"/>
        <v>Jul</v>
      </c>
      <c r="D563" s="2" t="str">
        <f t="shared" si="57"/>
        <v>Peak</v>
      </c>
      <c r="E563" s="2" t="str">
        <f t="shared" si="58"/>
        <v>Wed</v>
      </c>
      <c r="F563" s="8">
        <v>109</v>
      </c>
      <c r="G563" s="8">
        <v>125</v>
      </c>
      <c r="H563" s="9">
        <v>24226</v>
      </c>
      <c r="I563" s="10">
        <v>153</v>
      </c>
      <c r="J563" s="11">
        <f t="shared" si="59"/>
        <v>0.872</v>
      </c>
      <c r="K563" s="10">
        <f t="shared" si="60"/>
        <v>222.25688073394497</v>
      </c>
      <c r="L563" s="10">
        <f t="shared" si="61"/>
        <v>193.80799999999999</v>
      </c>
      <c r="M563" s="5">
        <f t="shared" si="62"/>
        <v>69.256880733944968</v>
      </c>
      <c r="N563" s="1"/>
    </row>
    <row r="564" spans="1:14" x14ac:dyDescent="0.35">
      <c r="A564" s="6">
        <v>45855</v>
      </c>
      <c r="B564" s="7" t="s">
        <v>56</v>
      </c>
      <c r="C564" s="2" t="str">
        <f t="shared" si="56"/>
        <v>Jul</v>
      </c>
      <c r="D564" s="2" t="str">
        <f t="shared" si="57"/>
        <v>Peak</v>
      </c>
      <c r="E564" s="2" t="str">
        <f t="shared" si="58"/>
        <v>Thu</v>
      </c>
      <c r="F564" s="8">
        <v>91</v>
      </c>
      <c r="G564" s="8">
        <v>125</v>
      </c>
      <c r="H564" s="9">
        <v>15147</v>
      </c>
      <c r="I564" s="10">
        <v>250</v>
      </c>
      <c r="J564" s="11">
        <f t="shared" si="59"/>
        <v>0.72799999999999998</v>
      </c>
      <c r="K564" s="10">
        <f t="shared" si="60"/>
        <v>166.45054945054946</v>
      </c>
      <c r="L564" s="10">
        <f t="shared" si="61"/>
        <v>121.176</v>
      </c>
      <c r="M564" s="5">
        <f t="shared" si="62"/>
        <v>-83.54945054945054</v>
      </c>
      <c r="N564" s="1"/>
    </row>
    <row r="565" spans="1:14" x14ac:dyDescent="0.35">
      <c r="A565" s="6">
        <v>45856</v>
      </c>
      <c r="B565" s="7" t="s">
        <v>56</v>
      </c>
      <c r="C565" s="2" t="str">
        <f t="shared" si="56"/>
        <v>Jul</v>
      </c>
      <c r="D565" s="2" t="str">
        <f t="shared" si="57"/>
        <v>Peak</v>
      </c>
      <c r="E565" s="2" t="str">
        <f t="shared" si="58"/>
        <v>Fri</v>
      </c>
      <c r="F565" s="8">
        <v>91</v>
      </c>
      <c r="G565" s="8">
        <v>125</v>
      </c>
      <c r="H565" s="9">
        <v>27516</v>
      </c>
      <c r="I565" s="10">
        <v>185</v>
      </c>
      <c r="J565" s="11">
        <f t="shared" si="59"/>
        <v>0.72799999999999998</v>
      </c>
      <c r="K565" s="10">
        <f t="shared" si="60"/>
        <v>302.37362637362639</v>
      </c>
      <c r="L565" s="10">
        <f t="shared" si="61"/>
        <v>220.12799999999999</v>
      </c>
      <c r="M565" s="5">
        <f t="shared" si="62"/>
        <v>117.37362637362639</v>
      </c>
      <c r="N565" s="1"/>
    </row>
    <row r="566" spans="1:14" x14ac:dyDescent="0.35">
      <c r="A566" s="6">
        <v>45857</v>
      </c>
      <c r="B566" s="7" t="s">
        <v>56</v>
      </c>
      <c r="C566" s="2" t="str">
        <f t="shared" si="56"/>
        <v>Jul</v>
      </c>
      <c r="D566" s="2" t="str">
        <f t="shared" si="57"/>
        <v>Peak</v>
      </c>
      <c r="E566" s="2" t="str">
        <f t="shared" si="58"/>
        <v>Sat</v>
      </c>
      <c r="F566" s="8">
        <v>98</v>
      </c>
      <c r="G566" s="8">
        <v>125</v>
      </c>
      <c r="H566" s="9">
        <v>11938</v>
      </c>
      <c r="I566" s="10">
        <v>145</v>
      </c>
      <c r="J566" s="11">
        <f t="shared" si="59"/>
        <v>0.78400000000000003</v>
      </c>
      <c r="K566" s="10">
        <f t="shared" si="60"/>
        <v>121.81632653061224</v>
      </c>
      <c r="L566" s="10">
        <f t="shared" si="61"/>
        <v>95.504000000000005</v>
      </c>
      <c r="M566" s="5">
        <f t="shared" si="62"/>
        <v>-23.183673469387756</v>
      </c>
      <c r="N566" s="1" t="s">
        <v>17</v>
      </c>
    </row>
    <row r="567" spans="1:14" x14ac:dyDescent="0.35">
      <c r="A567" s="6">
        <v>45858</v>
      </c>
      <c r="B567" s="7" t="s">
        <v>56</v>
      </c>
      <c r="C567" s="2" t="str">
        <f t="shared" si="56"/>
        <v>Jul</v>
      </c>
      <c r="D567" s="2" t="str">
        <f t="shared" si="57"/>
        <v>Peak</v>
      </c>
      <c r="E567" s="2" t="str">
        <f t="shared" si="58"/>
        <v>Sun</v>
      </c>
      <c r="F567" s="8">
        <v>112</v>
      </c>
      <c r="G567" s="8">
        <v>125</v>
      </c>
      <c r="H567" s="9">
        <v>18290</v>
      </c>
      <c r="I567" s="10">
        <v>155</v>
      </c>
      <c r="J567" s="11">
        <f t="shared" si="59"/>
        <v>0.89600000000000002</v>
      </c>
      <c r="K567" s="10">
        <f t="shared" si="60"/>
        <v>163.30357142857142</v>
      </c>
      <c r="L567" s="10">
        <f t="shared" si="61"/>
        <v>146.32</v>
      </c>
      <c r="M567" s="5">
        <f t="shared" si="62"/>
        <v>8.3035714285714164</v>
      </c>
      <c r="N567" s="1" t="s">
        <v>17</v>
      </c>
    </row>
    <row r="568" spans="1:14" x14ac:dyDescent="0.35">
      <c r="A568" s="6">
        <v>45859</v>
      </c>
      <c r="B568" s="7" t="s">
        <v>56</v>
      </c>
      <c r="C568" s="2" t="str">
        <f t="shared" si="56"/>
        <v>Jul</v>
      </c>
      <c r="D568" s="2" t="str">
        <f t="shared" si="57"/>
        <v>Peak</v>
      </c>
      <c r="E568" s="2" t="str">
        <f t="shared" si="58"/>
        <v>Mon</v>
      </c>
      <c r="F568" s="8">
        <v>116</v>
      </c>
      <c r="G568" s="8">
        <v>125</v>
      </c>
      <c r="H568" s="9">
        <v>11860</v>
      </c>
      <c r="I568" s="10">
        <v>206</v>
      </c>
      <c r="J568" s="11">
        <f t="shared" si="59"/>
        <v>0.92800000000000005</v>
      </c>
      <c r="K568" s="10">
        <f t="shared" si="60"/>
        <v>102.24137931034483</v>
      </c>
      <c r="L568" s="10">
        <f t="shared" si="61"/>
        <v>94.88</v>
      </c>
      <c r="M568" s="5">
        <f t="shared" si="62"/>
        <v>-103.75862068965517</v>
      </c>
      <c r="N568" s="1"/>
    </row>
    <row r="569" spans="1:14" x14ac:dyDescent="0.35">
      <c r="A569" s="6">
        <v>45860</v>
      </c>
      <c r="B569" s="7" t="s">
        <v>56</v>
      </c>
      <c r="C569" s="2" t="str">
        <f t="shared" si="56"/>
        <v>Jul</v>
      </c>
      <c r="D569" s="2" t="str">
        <f t="shared" si="57"/>
        <v>Peak</v>
      </c>
      <c r="E569" s="2" t="str">
        <f t="shared" si="58"/>
        <v>Tue</v>
      </c>
      <c r="F569" s="8">
        <v>93</v>
      </c>
      <c r="G569" s="8">
        <v>125</v>
      </c>
      <c r="H569" s="9">
        <v>15392</v>
      </c>
      <c r="I569" s="10">
        <v>249</v>
      </c>
      <c r="J569" s="11">
        <f t="shared" si="59"/>
        <v>0.74399999999999999</v>
      </c>
      <c r="K569" s="10">
        <f t="shared" si="60"/>
        <v>165.50537634408602</v>
      </c>
      <c r="L569" s="10">
        <f t="shared" si="61"/>
        <v>123.136</v>
      </c>
      <c r="M569" s="5">
        <f t="shared" si="62"/>
        <v>-83.494623655913983</v>
      </c>
      <c r="N569" s="1"/>
    </row>
    <row r="570" spans="1:14" x14ac:dyDescent="0.35">
      <c r="A570" s="6">
        <v>45861</v>
      </c>
      <c r="B570" s="7" t="s">
        <v>56</v>
      </c>
      <c r="C570" s="2" t="str">
        <f t="shared" si="56"/>
        <v>Jul</v>
      </c>
      <c r="D570" s="2" t="str">
        <f t="shared" si="57"/>
        <v>Peak</v>
      </c>
      <c r="E570" s="2" t="str">
        <f t="shared" si="58"/>
        <v>Wed</v>
      </c>
      <c r="F570" s="8">
        <v>119</v>
      </c>
      <c r="G570" s="8">
        <v>125</v>
      </c>
      <c r="H570" s="9">
        <v>22346</v>
      </c>
      <c r="I570" s="10">
        <v>138</v>
      </c>
      <c r="J570" s="11">
        <f t="shared" si="59"/>
        <v>0.95199999999999996</v>
      </c>
      <c r="K570" s="10">
        <f t="shared" si="60"/>
        <v>187.78151260504202</v>
      </c>
      <c r="L570" s="10">
        <f t="shared" si="61"/>
        <v>178.768</v>
      </c>
      <c r="M570" s="5">
        <f t="shared" si="62"/>
        <v>49.781512605042025</v>
      </c>
      <c r="N570" s="1"/>
    </row>
    <row r="571" spans="1:14" x14ac:dyDescent="0.35">
      <c r="A571" s="6">
        <v>45862</v>
      </c>
      <c r="B571" s="7" t="s">
        <v>56</v>
      </c>
      <c r="C571" s="2" t="str">
        <f t="shared" si="56"/>
        <v>Jul</v>
      </c>
      <c r="D571" s="2" t="str">
        <f t="shared" si="57"/>
        <v>Peak</v>
      </c>
      <c r="E571" s="2" t="str">
        <f t="shared" si="58"/>
        <v>Thu</v>
      </c>
      <c r="F571" s="8">
        <v>96</v>
      </c>
      <c r="G571" s="8">
        <v>125</v>
      </c>
      <c r="H571" s="9">
        <v>26102</v>
      </c>
      <c r="I571" s="10">
        <v>218</v>
      </c>
      <c r="J571" s="11">
        <f t="shared" si="59"/>
        <v>0.76800000000000002</v>
      </c>
      <c r="K571" s="10">
        <f t="shared" si="60"/>
        <v>271.89583333333331</v>
      </c>
      <c r="L571" s="10">
        <f t="shared" si="61"/>
        <v>208.816</v>
      </c>
      <c r="M571" s="5">
        <f t="shared" si="62"/>
        <v>53.895833333333314</v>
      </c>
      <c r="N571" s="1"/>
    </row>
    <row r="572" spans="1:14" x14ac:dyDescent="0.35">
      <c r="A572" s="6">
        <v>45863</v>
      </c>
      <c r="B572" s="7" t="s">
        <v>56</v>
      </c>
      <c r="C572" s="2" t="str">
        <f t="shared" si="56"/>
        <v>Jul</v>
      </c>
      <c r="D572" s="2" t="str">
        <f t="shared" si="57"/>
        <v>Peak</v>
      </c>
      <c r="E572" s="2" t="str">
        <f t="shared" si="58"/>
        <v>Fri</v>
      </c>
      <c r="F572" s="8">
        <v>98</v>
      </c>
      <c r="G572" s="8">
        <v>125</v>
      </c>
      <c r="H572" s="9">
        <v>22672</v>
      </c>
      <c r="I572" s="10">
        <v>193</v>
      </c>
      <c r="J572" s="11">
        <f t="shared" si="59"/>
        <v>0.78400000000000003</v>
      </c>
      <c r="K572" s="10">
        <f t="shared" si="60"/>
        <v>231.34693877551021</v>
      </c>
      <c r="L572" s="10">
        <f t="shared" si="61"/>
        <v>181.376</v>
      </c>
      <c r="M572" s="5">
        <f t="shared" si="62"/>
        <v>38.34693877551021</v>
      </c>
      <c r="N572" s="1"/>
    </row>
    <row r="573" spans="1:14" x14ac:dyDescent="0.35">
      <c r="A573" s="6">
        <v>45864</v>
      </c>
      <c r="B573" s="7" t="s">
        <v>56</v>
      </c>
      <c r="C573" s="2" t="str">
        <f t="shared" si="56"/>
        <v>Jul</v>
      </c>
      <c r="D573" s="2" t="str">
        <f t="shared" si="57"/>
        <v>Peak</v>
      </c>
      <c r="E573" s="2" t="str">
        <f t="shared" si="58"/>
        <v>Sat</v>
      </c>
      <c r="F573" s="8">
        <v>99</v>
      </c>
      <c r="G573" s="8">
        <v>125</v>
      </c>
      <c r="H573" s="9">
        <v>14020</v>
      </c>
      <c r="I573" s="10">
        <v>210</v>
      </c>
      <c r="J573" s="11">
        <f t="shared" si="59"/>
        <v>0.79200000000000004</v>
      </c>
      <c r="K573" s="10">
        <f t="shared" si="60"/>
        <v>141.61616161616161</v>
      </c>
      <c r="L573" s="10">
        <f t="shared" si="61"/>
        <v>112.16</v>
      </c>
      <c r="M573" s="5">
        <f t="shared" si="62"/>
        <v>-68.383838383838395</v>
      </c>
      <c r="N573" s="1"/>
    </row>
    <row r="574" spans="1:14" x14ac:dyDescent="0.35">
      <c r="A574" s="6">
        <v>45865</v>
      </c>
      <c r="B574" s="7" t="s">
        <v>56</v>
      </c>
      <c r="C574" s="2" t="str">
        <f t="shared" si="56"/>
        <v>Jul</v>
      </c>
      <c r="D574" s="2" t="str">
        <f t="shared" si="57"/>
        <v>Peak</v>
      </c>
      <c r="E574" s="2" t="str">
        <f t="shared" si="58"/>
        <v>Sun</v>
      </c>
      <c r="F574" s="8">
        <v>97</v>
      </c>
      <c r="G574" s="8">
        <v>125</v>
      </c>
      <c r="H574" s="9">
        <v>33790</v>
      </c>
      <c r="I574" s="10">
        <v>192</v>
      </c>
      <c r="J574" s="11">
        <f t="shared" si="59"/>
        <v>0.77600000000000002</v>
      </c>
      <c r="K574" s="10">
        <f t="shared" si="60"/>
        <v>348.35051546391753</v>
      </c>
      <c r="L574" s="10">
        <f t="shared" si="61"/>
        <v>270.32</v>
      </c>
      <c r="M574" s="5">
        <f t="shared" si="62"/>
        <v>156.35051546391753</v>
      </c>
      <c r="N574" s="1"/>
    </row>
    <row r="575" spans="1:14" x14ac:dyDescent="0.35">
      <c r="A575" s="6">
        <v>45866</v>
      </c>
      <c r="B575" s="7" t="s">
        <v>56</v>
      </c>
      <c r="C575" s="2" t="str">
        <f t="shared" si="56"/>
        <v>Jul</v>
      </c>
      <c r="D575" s="2" t="str">
        <f t="shared" si="57"/>
        <v>Peak</v>
      </c>
      <c r="E575" s="2" t="str">
        <f t="shared" si="58"/>
        <v>Mon</v>
      </c>
      <c r="F575" s="8">
        <v>105</v>
      </c>
      <c r="G575" s="8">
        <v>125</v>
      </c>
      <c r="H575" s="9">
        <v>11037</v>
      </c>
      <c r="I575" s="10">
        <v>166</v>
      </c>
      <c r="J575" s="11">
        <f t="shared" si="59"/>
        <v>0.84</v>
      </c>
      <c r="K575" s="10">
        <f t="shared" si="60"/>
        <v>105.11428571428571</v>
      </c>
      <c r="L575" s="10">
        <f t="shared" si="61"/>
        <v>88.296000000000006</v>
      </c>
      <c r="M575" s="5">
        <f t="shared" si="62"/>
        <v>-60.885714285714286</v>
      </c>
      <c r="N575" s="1"/>
    </row>
    <row r="576" spans="1:14" x14ac:dyDescent="0.35">
      <c r="A576" s="6">
        <v>45867</v>
      </c>
      <c r="B576" s="7" t="s">
        <v>56</v>
      </c>
      <c r="C576" s="2" t="str">
        <f t="shared" si="56"/>
        <v>Jul</v>
      </c>
      <c r="D576" s="2" t="str">
        <f t="shared" si="57"/>
        <v>Peak</v>
      </c>
      <c r="E576" s="2" t="str">
        <f t="shared" si="58"/>
        <v>Tue</v>
      </c>
      <c r="F576" s="8">
        <v>119</v>
      </c>
      <c r="G576" s="8">
        <v>125</v>
      </c>
      <c r="H576" s="9">
        <v>16124</v>
      </c>
      <c r="I576" s="10">
        <v>237</v>
      </c>
      <c r="J576" s="11">
        <f t="shared" si="59"/>
        <v>0.95199999999999996</v>
      </c>
      <c r="K576" s="10">
        <f t="shared" si="60"/>
        <v>135.49579831932772</v>
      </c>
      <c r="L576" s="10">
        <f t="shared" si="61"/>
        <v>128.99199999999999</v>
      </c>
      <c r="M576" s="5">
        <f t="shared" si="62"/>
        <v>-101.50420168067228</v>
      </c>
      <c r="N576" s="1"/>
    </row>
    <row r="577" spans="1:14" x14ac:dyDescent="0.35">
      <c r="A577" s="6">
        <v>45868</v>
      </c>
      <c r="B577" s="7" t="s">
        <v>56</v>
      </c>
      <c r="C577" s="2" t="str">
        <f t="shared" si="56"/>
        <v>Jul</v>
      </c>
      <c r="D577" s="2" t="str">
        <f t="shared" si="57"/>
        <v>Peak</v>
      </c>
      <c r="E577" s="2" t="str">
        <f t="shared" si="58"/>
        <v>Wed</v>
      </c>
      <c r="F577" s="8">
        <v>119</v>
      </c>
      <c r="G577" s="8">
        <v>125</v>
      </c>
      <c r="H577" s="9">
        <v>31124</v>
      </c>
      <c r="I577" s="10">
        <v>187</v>
      </c>
      <c r="J577" s="11">
        <f t="shared" si="59"/>
        <v>0.95199999999999996</v>
      </c>
      <c r="K577" s="10">
        <f t="shared" si="60"/>
        <v>261.54621848739498</v>
      </c>
      <c r="L577" s="10">
        <f t="shared" si="61"/>
        <v>248.99199999999999</v>
      </c>
      <c r="M577" s="5">
        <f t="shared" si="62"/>
        <v>74.546218487394981</v>
      </c>
      <c r="N577" s="1"/>
    </row>
    <row r="578" spans="1:14" x14ac:dyDescent="0.35">
      <c r="A578" s="6">
        <v>45869</v>
      </c>
      <c r="B578" s="7" t="s">
        <v>56</v>
      </c>
      <c r="C578" s="2" t="str">
        <f t="shared" ref="C578:C641" si="63">CHOOSE(MONTH(A578),"Jan","Feb","Mar","Apr","May","Jun","Jul","Aug","Sep","Oct","Nov","Dec")</f>
        <v>Jul</v>
      </c>
      <c r="D578" s="2" t="str">
        <f t="shared" ref="D578:D641" si="64">IF(AND(MONTH(A578)&gt;=5,MONTH(A578)&lt;=9),"Peak","Off-Peak")</f>
        <v>Peak</v>
      </c>
      <c r="E578" s="2" t="str">
        <f t="shared" ref="E578:E641" si="65">CHOOSE(WEEKDAY(A578,2),"Mon","Tue","Wed","Thu","Fri","Sat","Sun")</f>
        <v>Thu</v>
      </c>
      <c r="F578" s="8">
        <v>92</v>
      </c>
      <c r="G578" s="8">
        <v>125</v>
      </c>
      <c r="H578" s="9">
        <v>21166</v>
      </c>
      <c r="I578" s="10">
        <v>174</v>
      </c>
      <c r="J578" s="11">
        <f t="shared" ref="J578:J641" si="66">IF(G578=0,0,F578/G578)</f>
        <v>0.73599999999999999</v>
      </c>
      <c r="K578" s="10">
        <f t="shared" ref="K578:K641" si="67">IF(F578=0,0,H578/F578)</f>
        <v>230.06521739130434</v>
      </c>
      <c r="L578" s="10">
        <f t="shared" ref="L578:L641" si="68">IF(G578=0,0,H578/G578)</f>
        <v>169.328</v>
      </c>
      <c r="M578" s="5">
        <f t="shared" ref="M578:M641" si="69">K578-I578</f>
        <v>56.065217391304344</v>
      </c>
      <c r="N578" s="1"/>
    </row>
    <row r="579" spans="1:14" x14ac:dyDescent="0.35">
      <c r="A579" s="6">
        <v>45870</v>
      </c>
      <c r="B579" s="7" t="s">
        <v>56</v>
      </c>
      <c r="C579" s="2" t="str">
        <f t="shared" si="63"/>
        <v>Aug</v>
      </c>
      <c r="D579" s="2" t="str">
        <f t="shared" si="64"/>
        <v>Peak</v>
      </c>
      <c r="E579" s="2" t="str">
        <f t="shared" si="65"/>
        <v>Fri</v>
      </c>
      <c r="F579" s="8">
        <v>93</v>
      </c>
      <c r="G579" s="8">
        <v>125</v>
      </c>
      <c r="H579" s="9">
        <v>25035</v>
      </c>
      <c r="I579" s="10">
        <v>234</v>
      </c>
      <c r="J579" s="11">
        <f t="shared" si="66"/>
        <v>0.74399999999999999</v>
      </c>
      <c r="K579" s="10">
        <f t="shared" si="67"/>
        <v>269.19354838709677</v>
      </c>
      <c r="L579" s="10">
        <f t="shared" si="68"/>
        <v>200.28</v>
      </c>
      <c r="M579" s="5">
        <f t="shared" si="69"/>
        <v>35.193548387096769</v>
      </c>
      <c r="N579" s="1"/>
    </row>
    <row r="580" spans="1:14" x14ac:dyDescent="0.35">
      <c r="A580" s="6">
        <v>45871</v>
      </c>
      <c r="B580" s="7" t="s">
        <v>56</v>
      </c>
      <c r="C580" s="2" t="str">
        <f t="shared" si="63"/>
        <v>Aug</v>
      </c>
      <c r="D580" s="2" t="str">
        <f t="shared" si="64"/>
        <v>Peak</v>
      </c>
      <c r="E580" s="2" t="str">
        <f t="shared" si="65"/>
        <v>Sat</v>
      </c>
      <c r="F580" s="8">
        <v>105</v>
      </c>
      <c r="G580" s="8">
        <v>125</v>
      </c>
      <c r="H580" s="9">
        <v>34758</v>
      </c>
      <c r="I580" s="10">
        <v>172</v>
      </c>
      <c r="J580" s="11">
        <f t="shared" si="66"/>
        <v>0.84</v>
      </c>
      <c r="K580" s="10">
        <f t="shared" si="67"/>
        <v>331.02857142857141</v>
      </c>
      <c r="L580" s="10">
        <f t="shared" si="68"/>
        <v>278.06400000000002</v>
      </c>
      <c r="M580" s="5">
        <f t="shared" si="69"/>
        <v>159.02857142857141</v>
      </c>
      <c r="N580" s="1"/>
    </row>
    <row r="581" spans="1:14" x14ac:dyDescent="0.35">
      <c r="A581" s="6">
        <v>45872</v>
      </c>
      <c r="B581" s="7" t="s">
        <v>56</v>
      </c>
      <c r="C581" s="2" t="str">
        <f t="shared" si="63"/>
        <v>Aug</v>
      </c>
      <c r="D581" s="2" t="str">
        <f t="shared" si="64"/>
        <v>Peak</v>
      </c>
      <c r="E581" s="2" t="str">
        <f t="shared" si="65"/>
        <v>Sun</v>
      </c>
      <c r="F581" s="8">
        <v>95</v>
      </c>
      <c r="G581" s="8">
        <v>125</v>
      </c>
      <c r="H581" s="9">
        <v>27338</v>
      </c>
      <c r="I581" s="10">
        <v>234</v>
      </c>
      <c r="J581" s="11">
        <f t="shared" si="66"/>
        <v>0.76</v>
      </c>
      <c r="K581" s="10">
        <f t="shared" si="67"/>
        <v>287.7684210526316</v>
      </c>
      <c r="L581" s="10">
        <f t="shared" si="68"/>
        <v>218.70400000000001</v>
      </c>
      <c r="M581" s="5">
        <f t="shared" si="69"/>
        <v>53.768421052631595</v>
      </c>
      <c r="N581" s="1"/>
    </row>
    <row r="582" spans="1:14" x14ac:dyDescent="0.35">
      <c r="A582" s="6">
        <v>45873</v>
      </c>
      <c r="B582" s="7" t="s">
        <v>56</v>
      </c>
      <c r="C582" s="2" t="str">
        <f t="shared" si="63"/>
        <v>Aug</v>
      </c>
      <c r="D582" s="2" t="str">
        <f t="shared" si="64"/>
        <v>Peak</v>
      </c>
      <c r="E582" s="2" t="str">
        <f t="shared" si="65"/>
        <v>Mon</v>
      </c>
      <c r="F582" s="8">
        <v>116</v>
      </c>
      <c r="G582" s="8">
        <v>125</v>
      </c>
      <c r="H582" s="9">
        <v>30497</v>
      </c>
      <c r="I582" s="10">
        <v>232</v>
      </c>
      <c r="J582" s="11">
        <f t="shared" si="66"/>
        <v>0.92800000000000005</v>
      </c>
      <c r="K582" s="10">
        <f t="shared" si="67"/>
        <v>262.90517241379308</v>
      </c>
      <c r="L582" s="10">
        <f t="shared" si="68"/>
        <v>243.976</v>
      </c>
      <c r="M582" s="5">
        <f t="shared" si="69"/>
        <v>30.905172413793082</v>
      </c>
      <c r="N582" s="1"/>
    </row>
    <row r="583" spans="1:14" x14ac:dyDescent="0.35">
      <c r="A583" s="6">
        <v>45874</v>
      </c>
      <c r="B583" s="7" t="s">
        <v>56</v>
      </c>
      <c r="C583" s="2" t="str">
        <f t="shared" si="63"/>
        <v>Aug</v>
      </c>
      <c r="D583" s="2" t="str">
        <f t="shared" si="64"/>
        <v>Peak</v>
      </c>
      <c r="E583" s="2" t="str">
        <f t="shared" si="65"/>
        <v>Tue</v>
      </c>
      <c r="F583" s="8">
        <v>85</v>
      </c>
      <c r="G583" s="8">
        <v>125</v>
      </c>
      <c r="H583" s="9">
        <v>34399</v>
      </c>
      <c r="I583" s="10">
        <v>186</v>
      </c>
      <c r="J583" s="11">
        <f t="shared" si="66"/>
        <v>0.68</v>
      </c>
      <c r="K583" s="10">
        <f t="shared" si="67"/>
        <v>404.69411764705882</v>
      </c>
      <c r="L583" s="10">
        <f t="shared" si="68"/>
        <v>275.19200000000001</v>
      </c>
      <c r="M583" s="5">
        <f t="shared" si="69"/>
        <v>218.69411764705882</v>
      </c>
      <c r="N583" s="1"/>
    </row>
    <row r="584" spans="1:14" x14ac:dyDescent="0.35">
      <c r="A584" s="6">
        <v>45875</v>
      </c>
      <c r="B584" s="7" t="s">
        <v>56</v>
      </c>
      <c r="C584" s="2" t="str">
        <f t="shared" si="63"/>
        <v>Aug</v>
      </c>
      <c r="D584" s="2" t="str">
        <f t="shared" si="64"/>
        <v>Peak</v>
      </c>
      <c r="E584" s="2" t="str">
        <f t="shared" si="65"/>
        <v>Wed</v>
      </c>
      <c r="F584" s="8">
        <v>102</v>
      </c>
      <c r="G584" s="8">
        <v>125</v>
      </c>
      <c r="H584" s="9">
        <v>29990</v>
      </c>
      <c r="I584" s="10">
        <v>218</v>
      </c>
      <c r="J584" s="11">
        <f t="shared" si="66"/>
        <v>0.81599999999999995</v>
      </c>
      <c r="K584" s="10">
        <f t="shared" si="67"/>
        <v>294.01960784313724</v>
      </c>
      <c r="L584" s="10">
        <f t="shared" si="68"/>
        <v>239.92</v>
      </c>
      <c r="M584" s="5">
        <f t="shared" si="69"/>
        <v>76.019607843137237</v>
      </c>
      <c r="N584" s="1"/>
    </row>
    <row r="585" spans="1:14" x14ac:dyDescent="0.35">
      <c r="A585" s="6">
        <v>45876</v>
      </c>
      <c r="B585" s="7" t="s">
        <v>56</v>
      </c>
      <c r="C585" s="2" t="str">
        <f t="shared" si="63"/>
        <v>Aug</v>
      </c>
      <c r="D585" s="2" t="str">
        <f t="shared" si="64"/>
        <v>Peak</v>
      </c>
      <c r="E585" s="2" t="str">
        <f t="shared" si="65"/>
        <v>Thu</v>
      </c>
      <c r="F585" s="8">
        <v>96</v>
      </c>
      <c r="G585" s="8">
        <v>125</v>
      </c>
      <c r="H585" s="9">
        <v>21614</v>
      </c>
      <c r="I585" s="10">
        <v>138</v>
      </c>
      <c r="J585" s="11">
        <f t="shared" si="66"/>
        <v>0.76800000000000002</v>
      </c>
      <c r="K585" s="10">
        <f t="shared" si="67"/>
        <v>225.14583333333334</v>
      </c>
      <c r="L585" s="10">
        <f t="shared" si="68"/>
        <v>172.91200000000001</v>
      </c>
      <c r="M585" s="5">
        <f t="shared" si="69"/>
        <v>87.145833333333343</v>
      </c>
      <c r="N585" s="1"/>
    </row>
    <row r="586" spans="1:14" x14ac:dyDescent="0.35">
      <c r="A586" s="6">
        <v>45877</v>
      </c>
      <c r="B586" s="7" t="s">
        <v>56</v>
      </c>
      <c r="C586" s="2" t="str">
        <f t="shared" si="63"/>
        <v>Aug</v>
      </c>
      <c r="D586" s="2" t="str">
        <f t="shared" si="64"/>
        <v>Peak</v>
      </c>
      <c r="E586" s="2" t="str">
        <f t="shared" si="65"/>
        <v>Fri</v>
      </c>
      <c r="F586" s="8">
        <v>117</v>
      </c>
      <c r="G586" s="8">
        <v>125</v>
      </c>
      <c r="H586" s="9">
        <v>31107</v>
      </c>
      <c r="I586" s="10">
        <v>132</v>
      </c>
      <c r="J586" s="11">
        <f t="shared" si="66"/>
        <v>0.93600000000000005</v>
      </c>
      <c r="K586" s="10">
        <f t="shared" si="67"/>
        <v>265.87179487179486</v>
      </c>
      <c r="L586" s="10">
        <f t="shared" si="68"/>
        <v>248.85599999999999</v>
      </c>
      <c r="M586" s="5">
        <f t="shared" si="69"/>
        <v>133.87179487179486</v>
      </c>
      <c r="N586" s="1" t="s">
        <v>16</v>
      </c>
    </row>
    <row r="587" spans="1:14" x14ac:dyDescent="0.35">
      <c r="A587" s="6">
        <v>45878</v>
      </c>
      <c r="B587" s="7" t="s">
        <v>56</v>
      </c>
      <c r="C587" s="2" t="str">
        <f t="shared" si="63"/>
        <v>Aug</v>
      </c>
      <c r="D587" s="2" t="str">
        <f t="shared" si="64"/>
        <v>Peak</v>
      </c>
      <c r="E587" s="2" t="str">
        <f t="shared" si="65"/>
        <v>Sat</v>
      </c>
      <c r="F587" s="8">
        <v>116</v>
      </c>
      <c r="G587" s="8">
        <v>125</v>
      </c>
      <c r="H587" s="9">
        <v>25436</v>
      </c>
      <c r="I587" s="10">
        <v>132</v>
      </c>
      <c r="J587" s="11">
        <f t="shared" si="66"/>
        <v>0.92800000000000005</v>
      </c>
      <c r="K587" s="10">
        <f t="shared" si="67"/>
        <v>219.27586206896552</v>
      </c>
      <c r="L587" s="10">
        <f t="shared" si="68"/>
        <v>203.488</v>
      </c>
      <c r="M587" s="5">
        <f t="shared" si="69"/>
        <v>87.275862068965523</v>
      </c>
      <c r="N587" s="1" t="s">
        <v>16</v>
      </c>
    </row>
    <row r="588" spans="1:14" x14ac:dyDescent="0.35">
      <c r="A588" s="6">
        <v>45879</v>
      </c>
      <c r="B588" s="7" t="s">
        <v>56</v>
      </c>
      <c r="C588" s="2" t="str">
        <f t="shared" si="63"/>
        <v>Aug</v>
      </c>
      <c r="D588" s="2" t="str">
        <f t="shared" si="64"/>
        <v>Peak</v>
      </c>
      <c r="E588" s="2" t="str">
        <f t="shared" si="65"/>
        <v>Sun</v>
      </c>
      <c r="F588" s="8">
        <v>110</v>
      </c>
      <c r="G588" s="8">
        <v>125</v>
      </c>
      <c r="H588" s="9">
        <v>32014</v>
      </c>
      <c r="I588" s="10">
        <v>226</v>
      </c>
      <c r="J588" s="11">
        <f t="shared" si="66"/>
        <v>0.88</v>
      </c>
      <c r="K588" s="10">
        <f t="shared" si="67"/>
        <v>291.03636363636366</v>
      </c>
      <c r="L588" s="10">
        <f t="shared" si="68"/>
        <v>256.11200000000002</v>
      </c>
      <c r="M588" s="5">
        <f t="shared" si="69"/>
        <v>65.03636363636366</v>
      </c>
      <c r="N588" s="1"/>
    </row>
    <row r="589" spans="1:14" x14ac:dyDescent="0.35">
      <c r="A589" s="6">
        <v>45880</v>
      </c>
      <c r="B589" s="7" t="s">
        <v>56</v>
      </c>
      <c r="C589" s="2" t="str">
        <f t="shared" si="63"/>
        <v>Aug</v>
      </c>
      <c r="D589" s="2" t="str">
        <f t="shared" si="64"/>
        <v>Peak</v>
      </c>
      <c r="E589" s="2" t="str">
        <f t="shared" si="65"/>
        <v>Mon</v>
      </c>
      <c r="F589" s="8">
        <v>120</v>
      </c>
      <c r="G589" s="8">
        <v>125</v>
      </c>
      <c r="H589" s="9">
        <v>26517</v>
      </c>
      <c r="I589" s="10">
        <v>221</v>
      </c>
      <c r="J589" s="11">
        <f t="shared" si="66"/>
        <v>0.96</v>
      </c>
      <c r="K589" s="10">
        <f t="shared" si="67"/>
        <v>220.97499999999999</v>
      </c>
      <c r="L589" s="10">
        <f t="shared" si="68"/>
        <v>212.136</v>
      </c>
      <c r="M589" s="5">
        <f t="shared" si="69"/>
        <v>-2.5000000000005684E-2</v>
      </c>
      <c r="N589" s="1"/>
    </row>
    <row r="590" spans="1:14" x14ac:dyDescent="0.35">
      <c r="A590" s="6">
        <v>45881</v>
      </c>
      <c r="B590" s="7" t="s">
        <v>56</v>
      </c>
      <c r="C590" s="2" t="str">
        <f t="shared" si="63"/>
        <v>Aug</v>
      </c>
      <c r="D590" s="2" t="str">
        <f t="shared" si="64"/>
        <v>Peak</v>
      </c>
      <c r="E590" s="2" t="str">
        <f t="shared" si="65"/>
        <v>Tue</v>
      </c>
      <c r="F590" s="8">
        <v>109</v>
      </c>
      <c r="G590" s="8">
        <v>125</v>
      </c>
      <c r="H590" s="9">
        <v>15891</v>
      </c>
      <c r="I590" s="10">
        <v>150</v>
      </c>
      <c r="J590" s="11">
        <f t="shared" si="66"/>
        <v>0.872</v>
      </c>
      <c r="K590" s="10">
        <f t="shared" si="67"/>
        <v>145.78899082568807</v>
      </c>
      <c r="L590" s="10">
        <f t="shared" si="68"/>
        <v>127.128</v>
      </c>
      <c r="M590" s="5">
        <f t="shared" si="69"/>
        <v>-4.2110091743119256</v>
      </c>
      <c r="N590" s="1"/>
    </row>
    <row r="591" spans="1:14" x14ac:dyDescent="0.35">
      <c r="A591" s="6">
        <v>45882</v>
      </c>
      <c r="B591" s="7" t="s">
        <v>56</v>
      </c>
      <c r="C591" s="2" t="str">
        <f t="shared" si="63"/>
        <v>Aug</v>
      </c>
      <c r="D591" s="2" t="str">
        <f t="shared" si="64"/>
        <v>Peak</v>
      </c>
      <c r="E591" s="2" t="str">
        <f t="shared" si="65"/>
        <v>Wed</v>
      </c>
      <c r="F591" s="8">
        <v>96</v>
      </c>
      <c r="G591" s="8">
        <v>125</v>
      </c>
      <c r="H591" s="9">
        <v>32467</v>
      </c>
      <c r="I591" s="10">
        <v>222</v>
      </c>
      <c r="J591" s="11">
        <f t="shared" si="66"/>
        <v>0.76800000000000002</v>
      </c>
      <c r="K591" s="10">
        <f t="shared" si="67"/>
        <v>338.19791666666669</v>
      </c>
      <c r="L591" s="10">
        <f t="shared" si="68"/>
        <v>259.73599999999999</v>
      </c>
      <c r="M591" s="5">
        <f t="shared" si="69"/>
        <v>116.19791666666669</v>
      </c>
      <c r="N591" s="1"/>
    </row>
    <row r="592" spans="1:14" x14ac:dyDescent="0.35">
      <c r="A592" s="6">
        <v>45883</v>
      </c>
      <c r="B592" s="7" t="s">
        <v>56</v>
      </c>
      <c r="C592" s="2" t="str">
        <f t="shared" si="63"/>
        <v>Aug</v>
      </c>
      <c r="D592" s="2" t="str">
        <f t="shared" si="64"/>
        <v>Peak</v>
      </c>
      <c r="E592" s="2" t="str">
        <f t="shared" si="65"/>
        <v>Thu</v>
      </c>
      <c r="F592" s="8">
        <v>105</v>
      </c>
      <c r="G592" s="8">
        <v>125</v>
      </c>
      <c r="H592" s="9">
        <v>23430</v>
      </c>
      <c r="I592" s="10">
        <v>149</v>
      </c>
      <c r="J592" s="11">
        <f t="shared" si="66"/>
        <v>0.84</v>
      </c>
      <c r="K592" s="10">
        <f t="shared" si="67"/>
        <v>223.14285714285714</v>
      </c>
      <c r="L592" s="10">
        <f t="shared" si="68"/>
        <v>187.44</v>
      </c>
      <c r="M592" s="5">
        <f t="shared" si="69"/>
        <v>74.142857142857139</v>
      </c>
      <c r="N592" s="1"/>
    </row>
    <row r="593" spans="1:14" x14ac:dyDescent="0.35">
      <c r="A593" s="6">
        <v>45884</v>
      </c>
      <c r="B593" s="7" t="s">
        <v>56</v>
      </c>
      <c r="C593" s="2" t="str">
        <f t="shared" si="63"/>
        <v>Aug</v>
      </c>
      <c r="D593" s="2" t="str">
        <f t="shared" si="64"/>
        <v>Peak</v>
      </c>
      <c r="E593" s="2" t="str">
        <f t="shared" si="65"/>
        <v>Fri</v>
      </c>
      <c r="F593" s="8">
        <v>93</v>
      </c>
      <c r="G593" s="8">
        <v>125</v>
      </c>
      <c r="H593" s="9">
        <v>12800</v>
      </c>
      <c r="I593" s="10">
        <v>190</v>
      </c>
      <c r="J593" s="11">
        <f t="shared" si="66"/>
        <v>0.74399999999999999</v>
      </c>
      <c r="K593" s="10">
        <f t="shared" si="67"/>
        <v>137.63440860215053</v>
      </c>
      <c r="L593" s="10">
        <f t="shared" si="68"/>
        <v>102.4</v>
      </c>
      <c r="M593" s="5">
        <f t="shared" si="69"/>
        <v>-52.365591397849471</v>
      </c>
      <c r="N593" s="1"/>
    </row>
    <row r="594" spans="1:14" x14ac:dyDescent="0.35">
      <c r="A594" s="6">
        <v>45885</v>
      </c>
      <c r="B594" s="7" t="s">
        <v>56</v>
      </c>
      <c r="C594" s="2" t="str">
        <f t="shared" si="63"/>
        <v>Aug</v>
      </c>
      <c r="D594" s="2" t="str">
        <f t="shared" si="64"/>
        <v>Peak</v>
      </c>
      <c r="E594" s="2" t="str">
        <f t="shared" si="65"/>
        <v>Sat</v>
      </c>
      <c r="F594" s="8">
        <v>102</v>
      </c>
      <c r="G594" s="8">
        <v>125</v>
      </c>
      <c r="H594" s="9">
        <v>31749</v>
      </c>
      <c r="I594" s="10">
        <v>155</v>
      </c>
      <c r="J594" s="11">
        <f t="shared" si="66"/>
        <v>0.81599999999999995</v>
      </c>
      <c r="K594" s="10">
        <f t="shared" si="67"/>
        <v>311.26470588235293</v>
      </c>
      <c r="L594" s="10">
        <f t="shared" si="68"/>
        <v>253.99199999999999</v>
      </c>
      <c r="M594" s="5">
        <f t="shared" si="69"/>
        <v>156.26470588235293</v>
      </c>
      <c r="N594" s="1"/>
    </row>
    <row r="595" spans="1:14" x14ac:dyDescent="0.35">
      <c r="A595" s="6">
        <v>45886</v>
      </c>
      <c r="B595" s="7" t="s">
        <v>56</v>
      </c>
      <c r="C595" s="2" t="str">
        <f t="shared" si="63"/>
        <v>Aug</v>
      </c>
      <c r="D595" s="2" t="str">
        <f t="shared" si="64"/>
        <v>Peak</v>
      </c>
      <c r="E595" s="2" t="str">
        <f t="shared" si="65"/>
        <v>Sun</v>
      </c>
      <c r="F595" s="8">
        <v>87</v>
      </c>
      <c r="G595" s="8">
        <v>125</v>
      </c>
      <c r="H595" s="9">
        <v>29406</v>
      </c>
      <c r="I595" s="10">
        <v>130</v>
      </c>
      <c r="J595" s="11">
        <f t="shared" si="66"/>
        <v>0.69599999999999995</v>
      </c>
      <c r="K595" s="10">
        <f t="shared" si="67"/>
        <v>338</v>
      </c>
      <c r="L595" s="10">
        <f t="shared" si="68"/>
        <v>235.24799999999999</v>
      </c>
      <c r="M595" s="5">
        <f t="shared" si="69"/>
        <v>208</v>
      </c>
      <c r="N595" s="1"/>
    </row>
    <row r="596" spans="1:14" x14ac:dyDescent="0.35">
      <c r="A596" s="6">
        <v>45887</v>
      </c>
      <c r="B596" s="7" t="s">
        <v>56</v>
      </c>
      <c r="C596" s="2" t="str">
        <f t="shared" si="63"/>
        <v>Aug</v>
      </c>
      <c r="D596" s="2" t="str">
        <f t="shared" si="64"/>
        <v>Peak</v>
      </c>
      <c r="E596" s="2" t="str">
        <f t="shared" si="65"/>
        <v>Mon</v>
      </c>
      <c r="F596" s="8">
        <v>120</v>
      </c>
      <c r="G596" s="8">
        <v>125</v>
      </c>
      <c r="H596" s="9">
        <v>16732</v>
      </c>
      <c r="I596" s="10">
        <v>242</v>
      </c>
      <c r="J596" s="11">
        <f t="shared" si="66"/>
        <v>0.96</v>
      </c>
      <c r="K596" s="10">
        <f t="shared" si="67"/>
        <v>139.43333333333334</v>
      </c>
      <c r="L596" s="10">
        <f t="shared" si="68"/>
        <v>133.85599999999999</v>
      </c>
      <c r="M596" s="5">
        <f t="shared" si="69"/>
        <v>-102.56666666666666</v>
      </c>
      <c r="N596" s="1"/>
    </row>
    <row r="597" spans="1:14" x14ac:dyDescent="0.35">
      <c r="A597" s="6">
        <v>45888</v>
      </c>
      <c r="B597" s="7" t="s">
        <v>56</v>
      </c>
      <c r="C597" s="2" t="str">
        <f t="shared" si="63"/>
        <v>Aug</v>
      </c>
      <c r="D597" s="2" t="str">
        <f t="shared" si="64"/>
        <v>Peak</v>
      </c>
      <c r="E597" s="2" t="str">
        <f t="shared" si="65"/>
        <v>Tue</v>
      </c>
      <c r="F597" s="8">
        <v>111</v>
      </c>
      <c r="G597" s="8">
        <v>125</v>
      </c>
      <c r="H597" s="9">
        <v>25151</v>
      </c>
      <c r="I597" s="10">
        <v>217</v>
      </c>
      <c r="J597" s="11">
        <f t="shared" si="66"/>
        <v>0.88800000000000001</v>
      </c>
      <c r="K597" s="10">
        <f t="shared" si="67"/>
        <v>226.58558558558559</v>
      </c>
      <c r="L597" s="10">
        <f t="shared" si="68"/>
        <v>201.208</v>
      </c>
      <c r="M597" s="5">
        <f t="shared" si="69"/>
        <v>9.5855855855855907</v>
      </c>
      <c r="N597" s="1"/>
    </row>
    <row r="598" spans="1:14" x14ac:dyDescent="0.35">
      <c r="A598" s="6">
        <v>45889</v>
      </c>
      <c r="B598" s="7" t="s">
        <v>56</v>
      </c>
      <c r="C598" s="2" t="str">
        <f t="shared" si="63"/>
        <v>Aug</v>
      </c>
      <c r="D598" s="2" t="str">
        <f t="shared" si="64"/>
        <v>Peak</v>
      </c>
      <c r="E598" s="2" t="str">
        <f t="shared" si="65"/>
        <v>Wed</v>
      </c>
      <c r="F598" s="8">
        <v>100</v>
      </c>
      <c r="G598" s="8">
        <v>125</v>
      </c>
      <c r="H598" s="9">
        <v>34365</v>
      </c>
      <c r="I598" s="10">
        <v>181</v>
      </c>
      <c r="J598" s="11">
        <f t="shared" si="66"/>
        <v>0.8</v>
      </c>
      <c r="K598" s="10">
        <f t="shared" si="67"/>
        <v>343.65</v>
      </c>
      <c r="L598" s="10">
        <f t="shared" si="68"/>
        <v>274.92</v>
      </c>
      <c r="M598" s="5">
        <f t="shared" si="69"/>
        <v>162.64999999999998</v>
      </c>
      <c r="N598" s="1" t="s">
        <v>18</v>
      </c>
    </row>
    <row r="599" spans="1:14" x14ac:dyDescent="0.35">
      <c r="A599" s="6">
        <v>45890</v>
      </c>
      <c r="B599" s="7" t="s">
        <v>56</v>
      </c>
      <c r="C599" s="2" t="str">
        <f t="shared" si="63"/>
        <v>Aug</v>
      </c>
      <c r="D599" s="2" t="str">
        <f t="shared" si="64"/>
        <v>Peak</v>
      </c>
      <c r="E599" s="2" t="str">
        <f t="shared" si="65"/>
        <v>Thu</v>
      </c>
      <c r="F599" s="8">
        <v>107</v>
      </c>
      <c r="G599" s="8">
        <v>125</v>
      </c>
      <c r="H599" s="9">
        <v>13340</v>
      </c>
      <c r="I599" s="10">
        <v>196</v>
      </c>
      <c r="J599" s="11">
        <f t="shared" si="66"/>
        <v>0.85599999999999998</v>
      </c>
      <c r="K599" s="10">
        <f t="shared" si="67"/>
        <v>124.67289719626169</v>
      </c>
      <c r="L599" s="10">
        <f t="shared" si="68"/>
        <v>106.72</v>
      </c>
      <c r="M599" s="5">
        <f t="shared" si="69"/>
        <v>-71.327102803738313</v>
      </c>
      <c r="N599" s="1" t="s">
        <v>18</v>
      </c>
    </row>
    <row r="600" spans="1:14" x14ac:dyDescent="0.35">
      <c r="A600" s="6">
        <v>45891</v>
      </c>
      <c r="B600" s="7" t="s">
        <v>56</v>
      </c>
      <c r="C600" s="2" t="str">
        <f t="shared" si="63"/>
        <v>Aug</v>
      </c>
      <c r="D600" s="2" t="str">
        <f t="shared" si="64"/>
        <v>Peak</v>
      </c>
      <c r="E600" s="2" t="str">
        <f t="shared" si="65"/>
        <v>Fri</v>
      </c>
      <c r="F600" s="8">
        <v>119</v>
      </c>
      <c r="G600" s="8">
        <v>125</v>
      </c>
      <c r="H600" s="9">
        <v>26670</v>
      </c>
      <c r="I600" s="10">
        <v>154</v>
      </c>
      <c r="J600" s="11">
        <f t="shared" si="66"/>
        <v>0.95199999999999996</v>
      </c>
      <c r="K600" s="10">
        <f t="shared" si="67"/>
        <v>224.11764705882354</v>
      </c>
      <c r="L600" s="10">
        <f t="shared" si="68"/>
        <v>213.36</v>
      </c>
      <c r="M600" s="5">
        <f t="shared" si="69"/>
        <v>70.117647058823536</v>
      </c>
      <c r="N600" s="1" t="s">
        <v>18</v>
      </c>
    </row>
    <row r="601" spans="1:14" x14ac:dyDescent="0.35">
      <c r="A601" s="6">
        <v>45892</v>
      </c>
      <c r="B601" s="7" t="s">
        <v>56</v>
      </c>
      <c r="C601" s="2" t="str">
        <f t="shared" si="63"/>
        <v>Aug</v>
      </c>
      <c r="D601" s="2" t="str">
        <f t="shared" si="64"/>
        <v>Peak</v>
      </c>
      <c r="E601" s="2" t="str">
        <f t="shared" si="65"/>
        <v>Sat</v>
      </c>
      <c r="F601" s="8">
        <v>119</v>
      </c>
      <c r="G601" s="8">
        <v>125</v>
      </c>
      <c r="H601" s="9">
        <v>27792</v>
      </c>
      <c r="I601" s="10">
        <v>242</v>
      </c>
      <c r="J601" s="11">
        <f t="shared" si="66"/>
        <v>0.95199999999999996</v>
      </c>
      <c r="K601" s="10">
        <f t="shared" si="67"/>
        <v>233.54621848739495</v>
      </c>
      <c r="L601" s="10">
        <f t="shared" si="68"/>
        <v>222.33600000000001</v>
      </c>
      <c r="M601" s="5">
        <f t="shared" si="69"/>
        <v>-8.4537815126050475</v>
      </c>
      <c r="N601" s="1" t="s">
        <v>18</v>
      </c>
    </row>
    <row r="602" spans="1:14" x14ac:dyDescent="0.35">
      <c r="A602" s="6">
        <v>45893</v>
      </c>
      <c r="B602" s="7" t="s">
        <v>56</v>
      </c>
      <c r="C602" s="2" t="str">
        <f t="shared" si="63"/>
        <v>Aug</v>
      </c>
      <c r="D602" s="2" t="str">
        <f t="shared" si="64"/>
        <v>Peak</v>
      </c>
      <c r="E602" s="2" t="str">
        <f t="shared" si="65"/>
        <v>Sun</v>
      </c>
      <c r="F602" s="8">
        <v>85</v>
      </c>
      <c r="G602" s="8">
        <v>125</v>
      </c>
      <c r="H602" s="9">
        <v>13006</v>
      </c>
      <c r="I602" s="10">
        <v>246</v>
      </c>
      <c r="J602" s="11">
        <f t="shared" si="66"/>
        <v>0.68</v>
      </c>
      <c r="K602" s="10">
        <f t="shared" si="67"/>
        <v>153.01176470588234</v>
      </c>
      <c r="L602" s="10">
        <f t="shared" si="68"/>
        <v>104.048</v>
      </c>
      <c r="M602" s="5">
        <f t="shared" si="69"/>
        <v>-92.988235294117658</v>
      </c>
      <c r="N602" s="1" t="s">
        <v>18</v>
      </c>
    </row>
    <row r="603" spans="1:14" x14ac:dyDescent="0.35">
      <c r="A603" s="6">
        <v>45894</v>
      </c>
      <c r="B603" s="7" t="s">
        <v>56</v>
      </c>
      <c r="C603" s="2" t="str">
        <f t="shared" si="63"/>
        <v>Aug</v>
      </c>
      <c r="D603" s="2" t="str">
        <f t="shared" si="64"/>
        <v>Peak</v>
      </c>
      <c r="E603" s="2" t="str">
        <f t="shared" si="65"/>
        <v>Mon</v>
      </c>
      <c r="F603" s="8">
        <v>118</v>
      </c>
      <c r="G603" s="8">
        <v>125</v>
      </c>
      <c r="H603" s="9">
        <v>23726</v>
      </c>
      <c r="I603" s="10">
        <v>187</v>
      </c>
      <c r="J603" s="11">
        <f t="shared" si="66"/>
        <v>0.94399999999999995</v>
      </c>
      <c r="K603" s="10">
        <f t="shared" si="67"/>
        <v>201.06779661016949</v>
      </c>
      <c r="L603" s="10">
        <f t="shared" si="68"/>
        <v>189.80799999999999</v>
      </c>
      <c r="M603" s="5">
        <f t="shared" si="69"/>
        <v>14.067796610169495</v>
      </c>
      <c r="N603" s="1"/>
    </row>
    <row r="604" spans="1:14" x14ac:dyDescent="0.35">
      <c r="A604" s="6">
        <v>45895</v>
      </c>
      <c r="B604" s="7" t="s">
        <v>56</v>
      </c>
      <c r="C604" s="2" t="str">
        <f t="shared" si="63"/>
        <v>Aug</v>
      </c>
      <c r="D604" s="2" t="str">
        <f t="shared" si="64"/>
        <v>Peak</v>
      </c>
      <c r="E604" s="2" t="str">
        <f t="shared" si="65"/>
        <v>Tue</v>
      </c>
      <c r="F604" s="8">
        <v>104</v>
      </c>
      <c r="G604" s="8">
        <v>125</v>
      </c>
      <c r="H604" s="9">
        <v>29075</v>
      </c>
      <c r="I604" s="10">
        <v>230</v>
      </c>
      <c r="J604" s="11">
        <f t="shared" si="66"/>
        <v>0.83199999999999996</v>
      </c>
      <c r="K604" s="10">
        <f t="shared" si="67"/>
        <v>279.56730769230768</v>
      </c>
      <c r="L604" s="10">
        <f t="shared" si="68"/>
        <v>232.6</v>
      </c>
      <c r="M604" s="5">
        <f t="shared" si="69"/>
        <v>49.567307692307679</v>
      </c>
      <c r="N604" s="1"/>
    </row>
    <row r="605" spans="1:14" x14ac:dyDescent="0.35">
      <c r="A605" s="6">
        <v>45896</v>
      </c>
      <c r="B605" s="7" t="s">
        <v>56</v>
      </c>
      <c r="C605" s="2" t="str">
        <f t="shared" si="63"/>
        <v>Aug</v>
      </c>
      <c r="D605" s="2" t="str">
        <f t="shared" si="64"/>
        <v>Peak</v>
      </c>
      <c r="E605" s="2" t="str">
        <f t="shared" si="65"/>
        <v>Wed</v>
      </c>
      <c r="F605" s="8">
        <v>112</v>
      </c>
      <c r="G605" s="8">
        <v>125</v>
      </c>
      <c r="H605" s="9">
        <v>18344</v>
      </c>
      <c r="I605" s="10">
        <v>194</v>
      </c>
      <c r="J605" s="11">
        <f t="shared" si="66"/>
        <v>0.89600000000000002</v>
      </c>
      <c r="K605" s="10">
        <f t="shared" si="67"/>
        <v>163.78571428571428</v>
      </c>
      <c r="L605" s="10">
        <f t="shared" si="68"/>
        <v>146.75200000000001</v>
      </c>
      <c r="M605" s="5">
        <f t="shared" si="69"/>
        <v>-30.214285714285722</v>
      </c>
      <c r="N605" s="1"/>
    </row>
    <row r="606" spans="1:14" x14ac:dyDescent="0.35">
      <c r="A606" s="6">
        <v>45897</v>
      </c>
      <c r="B606" s="7" t="s">
        <v>56</v>
      </c>
      <c r="C606" s="2" t="str">
        <f t="shared" si="63"/>
        <v>Aug</v>
      </c>
      <c r="D606" s="2" t="str">
        <f t="shared" si="64"/>
        <v>Peak</v>
      </c>
      <c r="E606" s="2" t="str">
        <f t="shared" si="65"/>
        <v>Thu</v>
      </c>
      <c r="F606" s="8">
        <v>100</v>
      </c>
      <c r="G606" s="8">
        <v>125</v>
      </c>
      <c r="H606" s="9">
        <v>15241</v>
      </c>
      <c r="I606" s="10">
        <v>187</v>
      </c>
      <c r="J606" s="11">
        <f t="shared" si="66"/>
        <v>0.8</v>
      </c>
      <c r="K606" s="10">
        <f t="shared" si="67"/>
        <v>152.41</v>
      </c>
      <c r="L606" s="10">
        <f t="shared" si="68"/>
        <v>121.928</v>
      </c>
      <c r="M606" s="5">
        <f t="shared" si="69"/>
        <v>-34.590000000000003</v>
      </c>
      <c r="N606" s="1"/>
    </row>
    <row r="607" spans="1:14" x14ac:dyDescent="0.35">
      <c r="A607" s="6">
        <v>45898</v>
      </c>
      <c r="B607" s="7" t="s">
        <v>56</v>
      </c>
      <c r="C607" s="2" t="str">
        <f t="shared" si="63"/>
        <v>Aug</v>
      </c>
      <c r="D607" s="2" t="str">
        <f t="shared" si="64"/>
        <v>Peak</v>
      </c>
      <c r="E607" s="2" t="str">
        <f t="shared" si="65"/>
        <v>Fri</v>
      </c>
      <c r="F607" s="8">
        <v>94</v>
      </c>
      <c r="G607" s="8">
        <v>125</v>
      </c>
      <c r="H607" s="9">
        <v>32666</v>
      </c>
      <c r="I607" s="10">
        <v>133</v>
      </c>
      <c r="J607" s="11">
        <f t="shared" si="66"/>
        <v>0.752</v>
      </c>
      <c r="K607" s="10">
        <f t="shared" si="67"/>
        <v>347.51063829787233</v>
      </c>
      <c r="L607" s="10">
        <f t="shared" si="68"/>
        <v>261.32799999999997</v>
      </c>
      <c r="M607" s="5">
        <f t="shared" si="69"/>
        <v>214.51063829787233</v>
      </c>
      <c r="N607" s="1"/>
    </row>
    <row r="608" spans="1:14" x14ac:dyDescent="0.35">
      <c r="A608" s="6">
        <v>45899</v>
      </c>
      <c r="B608" s="7" t="s">
        <v>56</v>
      </c>
      <c r="C608" s="2" t="str">
        <f t="shared" si="63"/>
        <v>Aug</v>
      </c>
      <c r="D608" s="2" t="str">
        <f t="shared" si="64"/>
        <v>Peak</v>
      </c>
      <c r="E608" s="2" t="str">
        <f t="shared" si="65"/>
        <v>Sat</v>
      </c>
      <c r="F608" s="8">
        <v>113</v>
      </c>
      <c r="G608" s="8">
        <v>125</v>
      </c>
      <c r="H608" s="9">
        <v>33771</v>
      </c>
      <c r="I608" s="10">
        <v>120</v>
      </c>
      <c r="J608" s="11">
        <f t="shared" si="66"/>
        <v>0.90400000000000003</v>
      </c>
      <c r="K608" s="10">
        <f t="shared" si="67"/>
        <v>298.85840707964604</v>
      </c>
      <c r="L608" s="10">
        <f t="shared" si="68"/>
        <v>270.16800000000001</v>
      </c>
      <c r="M608" s="5">
        <f t="shared" si="69"/>
        <v>178.85840707964604</v>
      </c>
      <c r="N608" s="1"/>
    </row>
    <row r="609" spans="1:14" x14ac:dyDescent="0.35">
      <c r="A609" s="6">
        <v>45900</v>
      </c>
      <c r="B609" s="7" t="s">
        <v>56</v>
      </c>
      <c r="C609" s="2" t="str">
        <f t="shared" si="63"/>
        <v>Aug</v>
      </c>
      <c r="D609" s="2" t="str">
        <f t="shared" si="64"/>
        <v>Peak</v>
      </c>
      <c r="E609" s="2" t="str">
        <f t="shared" si="65"/>
        <v>Sun</v>
      </c>
      <c r="F609" s="8">
        <v>93</v>
      </c>
      <c r="G609" s="8">
        <v>125</v>
      </c>
      <c r="H609" s="9">
        <v>21837</v>
      </c>
      <c r="I609" s="10">
        <v>198</v>
      </c>
      <c r="J609" s="11">
        <f t="shared" si="66"/>
        <v>0.74399999999999999</v>
      </c>
      <c r="K609" s="10">
        <f t="shared" si="67"/>
        <v>234.80645161290323</v>
      </c>
      <c r="L609" s="10">
        <f t="shared" si="68"/>
        <v>174.696</v>
      </c>
      <c r="M609" s="5">
        <f t="shared" si="69"/>
        <v>36.806451612903231</v>
      </c>
      <c r="N609" s="1"/>
    </row>
    <row r="610" spans="1:14" x14ac:dyDescent="0.35">
      <c r="A610" s="6">
        <v>45901</v>
      </c>
      <c r="B610" s="7" t="s">
        <v>56</v>
      </c>
      <c r="C610" s="2" t="str">
        <f t="shared" si="63"/>
        <v>Sep</v>
      </c>
      <c r="D610" s="2" t="str">
        <f t="shared" si="64"/>
        <v>Peak</v>
      </c>
      <c r="E610" s="2" t="str">
        <f t="shared" si="65"/>
        <v>Mon</v>
      </c>
      <c r="F610" s="8">
        <v>108</v>
      </c>
      <c r="G610" s="8">
        <v>125</v>
      </c>
      <c r="H610" s="9">
        <v>19239</v>
      </c>
      <c r="I610" s="10">
        <v>222</v>
      </c>
      <c r="J610" s="11">
        <f t="shared" si="66"/>
        <v>0.86399999999999999</v>
      </c>
      <c r="K610" s="10">
        <f t="shared" si="67"/>
        <v>178.13888888888889</v>
      </c>
      <c r="L610" s="10">
        <f t="shared" si="68"/>
        <v>153.91200000000001</v>
      </c>
      <c r="M610" s="5">
        <f t="shared" si="69"/>
        <v>-43.861111111111114</v>
      </c>
      <c r="N610" s="1"/>
    </row>
    <row r="611" spans="1:14" x14ac:dyDescent="0.35">
      <c r="A611" s="6">
        <v>45902</v>
      </c>
      <c r="B611" s="7" t="s">
        <v>56</v>
      </c>
      <c r="C611" s="2" t="str">
        <f t="shared" si="63"/>
        <v>Sep</v>
      </c>
      <c r="D611" s="2" t="str">
        <f t="shared" si="64"/>
        <v>Peak</v>
      </c>
      <c r="E611" s="2" t="str">
        <f t="shared" si="65"/>
        <v>Tue</v>
      </c>
      <c r="F611" s="8">
        <v>97</v>
      </c>
      <c r="G611" s="8">
        <v>125</v>
      </c>
      <c r="H611" s="9">
        <v>14040</v>
      </c>
      <c r="I611" s="10">
        <v>186</v>
      </c>
      <c r="J611" s="11">
        <f t="shared" si="66"/>
        <v>0.77600000000000002</v>
      </c>
      <c r="K611" s="10">
        <f t="shared" si="67"/>
        <v>144.74226804123711</v>
      </c>
      <c r="L611" s="10">
        <f t="shared" si="68"/>
        <v>112.32</v>
      </c>
      <c r="M611" s="5">
        <f t="shared" si="69"/>
        <v>-41.257731958762889</v>
      </c>
      <c r="N611" s="1"/>
    </row>
    <row r="612" spans="1:14" x14ac:dyDescent="0.35">
      <c r="A612" s="6">
        <v>45903</v>
      </c>
      <c r="B612" s="7" t="s">
        <v>56</v>
      </c>
      <c r="C612" s="2" t="str">
        <f t="shared" si="63"/>
        <v>Sep</v>
      </c>
      <c r="D612" s="2" t="str">
        <f t="shared" si="64"/>
        <v>Peak</v>
      </c>
      <c r="E612" s="2" t="str">
        <f t="shared" si="65"/>
        <v>Wed</v>
      </c>
      <c r="F612" s="8">
        <v>104</v>
      </c>
      <c r="G612" s="8">
        <v>125</v>
      </c>
      <c r="H612" s="9">
        <v>23160</v>
      </c>
      <c r="I612" s="10">
        <v>183</v>
      </c>
      <c r="J612" s="11">
        <f t="shared" si="66"/>
        <v>0.83199999999999996</v>
      </c>
      <c r="K612" s="10">
        <f t="shared" si="67"/>
        <v>222.69230769230768</v>
      </c>
      <c r="L612" s="10">
        <f t="shared" si="68"/>
        <v>185.28</v>
      </c>
      <c r="M612" s="5">
        <f t="shared" si="69"/>
        <v>39.692307692307679</v>
      </c>
      <c r="N612" s="1"/>
    </row>
    <row r="613" spans="1:14" x14ac:dyDescent="0.35">
      <c r="A613" s="6">
        <v>45904</v>
      </c>
      <c r="B613" s="7" t="s">
        <v>56</v>
      </c>
      <c r="C613" s="2" t="str">
        <f t="shared" si="63"/>
        <v>Sep</v>
      </c>
      <c r="D613" s="2" t="str">
        <f t="shared" si="64"/>
        <v>Peak</v>
      </c>
      <c r="E613" s="2" t="str">
        <f t="shared" si="65"/>
        <v>Thu</v>
      </c>
      <c r="F613" s="8">
        <v>94</v>
      </c>
      <c r="G613" s="8">
        <v>125</v>
      </c>
      <c r="H613" s="9">
        <v>11889</v>
      </c>
      <c r="I613" s="10">
        <v>239</v>
      </c>
      <c r="J613" s="11">
        <f t="shared" si="66"/>
        <v>0.752</v>
      </c>
      <c r="K613" s="10">
        <f t="shared" si="67"/>
        <v>126.47872340425532</v>
      </c>
      <c r="L613" s="10">
        <f t="shared" si="68"/>
        <v>95.111999999999995</v>
      </c>
      <c r="M613" s="5">
        <f t="shared" si="69"/>
        <v>-112.52127659574468</v>
      </c>
      <c r="N613" s="1"/>
    </row>
    <row r="614" spans="1:14" x14ac:dyDescent="0.35">
      <c r="A614" s="6">
        <v>45905</v>
      </c>
      <c r="B614" s="7" t="s">
        <v>56</v>
      </c>
      <c r="C614" s="2" t="str">
        <f t="shared" si="63"/>
        <v>Sep</v>
      </c>
      <c r="D614" s="2" t="str">
        <f t="shared" si="64"/>
        <v>Peak</v>
      </c>
      <c r="E614" s="2" t="str">
        <f t="shared" si="65"/>
        <v>Fri</v>
      </c>
      <c r="F614" s="8">
        <v>97</v>
      </c>
      <c r="G614" s="8">
        <v>125</v>
      </c>
      <c r="H614" s="9">
        <v>11732</v>
      </c>
      <c r="I614" s="10">
        <v>222</v>
      </c>
      <c r="J614" s="11">
        <f t="shared" si="66"/>
        <v>0.77600000000000002</v>
      </c>
      <c r="K614" s="10">
        <f t="shared" si="67"/>
        <v>120.94845360824742</v>
      </c>
      <c r="L614" s="10">
        <f t="shared" si="68"/>
        <v>93.855999999999995</v>
      </c>
      <c r="M614" s="5">
        <f t="shared" si="69"/>
        <v>-101.05154639175258</v>
      </c>
      <c r="N614" s="1"/>
    </row>
    <row r="615" spans="1:14" x14ac:dyDescent="0.35">
      <c r="A615" s="6">
        <v>45906</v>
      </c>
      <c r="B615" s="7" t="s">
        <v>56</v>
      </c>
      <c r="C615" s="2" t="str">
        <f t="shared" si="63"/>
        <v>Sep</v>
      </c>
      <c r="D615" s="2" t="str">
        <f t="shared" si="64"/>
        <v>Peak</v>
      </c>
      <c r="E615" s="2" t="str">
        <f t="shared" si="65"/>
        <v>Sat</v>
      </c>
      <c r="F615" s="8">
        <v>89</v>
      </c>
      <c r="G615" s="8">
        <v>125</v>
      </c>
      <c r="H615" s="9">
        <v>15932</v>
      </c>
      <c r="I615" s="10">
        <v>195</v>
      </c>
      <c r="J615" s="11">
        <f t="shared" si="66"/>
        <v>0.71199999999999997</v>
      </c>
      <c r="K615" s="10">
        <f t="shared" si="67"/>
        <v>179.01123595505618</v>
      </c>
      <c r="L615" s="10">
        <f t="shared" si="68"/>
        <v>127.456</v>
      </c>
      <c r="M615" s="5">
        <f t="shared" si="69"/>
        <v>-15.988764044943821</v>
      </c>
      <c r="N615" s="1" t="s">
        <v>19</v>
      </c>
    </row>
    <row r="616" spans="1:14" x14ac:dyDescent="0.35">
      <c r="A616" s="6">
        <v>45907</v>
      </c>
      <c r="B616" s="7" t="s">
        <v>56</v>
      </c>
      <c r="C616" s="2" t="str">
        <f t="shared" si="63"/>
        <v>Sep</v>
      </c>
      <c r="D616" s="2" t="str">
        <f t="shared" si="64"/>
        <v>Peak</v>
      </c>
      <c r="E616" s="2" t="str">
        <f t="shared" si="65"/>
        <v>Sun</v>
      </c>
      <c r="F616" s="8">
        <v>93</v>
      </c>
      <c r="G616" s="8">
        <v>125</v>
      </c>
      <c r="H616" s="9">
        <v>32790</v>
      </c>
      <c r="I616" s="10">
        <v>247</v>
      </c>
      <c r="J616" s="11">
        <f t="shared" si="66"/>
        <v>0.74399999999999999</v>
      </c>
      <c r="K616" s="10">
        <f t="shared" si="67"/>
        <v>352.58064516129031</v>
      </c>
      <c r="L616" s="10">
        <f t="shared" si="68"/>
        <v>262.32</v>
      </c>
      <c r="M616" s="5">
        <f t="shared" si="69"/>
        <v>105.58064516129031</v>
      </c>
      <c r="N616" s="1" t="s">
        <v>19</v>
      </c>
    </row>
    <row r="617" spans="1:14" x14ac:dyDescent="0.35">
      <c r="A617" s="6">
        <v>45908</v>
      </c>
      <c r="B617" s="7" t="s">
        <v>56</v>
      </c>
      <c r="C617" s="2" t="str">
        <f t="shared" si="63"/>
        <v>Sep</v>
      </c>
      <c r="D617" s="2" t="str">
        <f t="shared" si="64"/>
        <v>Peak</v>
      </c>
      <c r="E617" s="2" t="str">
        <f t="shared" si="65"/>
        <v>Mon</v>
      </c>
      <c r="F617" s="8">
        <v>102</v>
      </c>
      <c r="G617" s="8">
        <v>125</v>
      </c>
      <c r="H617" s="9">
        <v>23425</v>
      </c>
      <c r="I617" s="10">
        <v>201</v>
      </c>
      <c r="J617" s="11">
        <f t="shared" si="66"/>
        <v>0.81599999999999995</v>
      </c>
      <c r="K617" s="10">
        <f t="shared" si="67"/>
        <v>229.65686274509804</v>
      </c>
      <c r="L617" s="10">
        <f t="shared" si="68"/>
        <v>187.4</v>
      </c>
      <c r="M617" s="5">
        <f t="shared" si="69"/>
        <v>28.656862745098039</v>
      </c>
      <c r="N617" s="1"/>
    </row>
    <row r="618" spans="1:14" x14ac:dyDescent="0.35">
      <c r="A618" s="6">
        <v>45909</v>
      </c>
      <c r="B618" s="7" t="s">
        <v>56</v>
      </c>
      <c r="C618" s="2" t="str">
        <f t="shared" si="63"/>
        <v>Sep</v>
      </c>
      <c r="D618" s="2" t="str">
        <f t="shared" si="64"/>
        <v>Peak</v>
      </c>
      <c r="E618" s="2" t="str">
        <f t="shared" si="65"/>
        <v>Tue</v>
      </c>
      <c r="F618" s="8">
        <v>110</v>
      </c>
      <c r="G618" s="8">
        <v>125</v>
      </c>
      <c r="H618" s="9">
        <v>23506</v>
      </c>
      <c r="I618" s="10">
        <v>149</v>
      </c>
      <c r="J618" s="11">
        <f t="shared" si="66"/>
        <v>0.88</v>
      </c>
      <c r="K618" s="10">
        <f t="shared" si="67"/>
        <v>213.69090909090909</v>
      </c>
      <c r="L618" s="10">
        <f t="shared" si="68"/>
        <v>188.048</v>
      </c>
      <c r="M618" s="5">
        <f t="shared" si="69"/>
        <v>64.690909090909088</v>
      </c>
      <c r="N618" s="1"/>
    </row>
    <row r="619" spans="1:14" x14ac:dyDescent="0.35">
      <c r="A619" s="6">
        <v>45910</v>
      </c>
      <c r="B619" s="7" t="s">
        <v>56</v>
      </c>
      <c r="C619" s="2" t="str">
        <f t="shared" si="63"/>
        <v>Sep</v>
      </c>
      <c r="D619" s="2" t="str">
        <f t="shared" si="64"/>
        <v>Peak</v>
      </c>
      <c r="E619" s="2" t="str">
        <f t="shared" si="65"/>
        <v>Wed</v>
      </c>
      <c r="F619" s="8">
        <v>99</v>
      </c>
      <c r="G619" s="8">
        <v>125</v>
      </c>
      <c r="H619" s="9">
        <v>25828</v>
      </c>
      <c r="I619" s="10">
        <v>235</v>
      </c>
      <c r="J619" s="11">
        <f t="shared" si="66"/>
        <v>0.79200000000000004</v>
      </c>
      <c r="K619" s="10">
        <f t="shared" si="67"/>
        <v>260.88888888888891</v>
      </c>
      <c r="L619" s="10">
        <f t="shared" si="68"/>
        <v>206.624</v>
      </c>
      <c r="M619" s="5">
        <f t="shared" si="69"/>
        <v>25.888888888888914</v>
      </c>
      <c r="N619" s="1"/>
    </row>
    <row r="620" spans="1:14" x14ac:dyDescent="0.35">
      <c r="A620" s="6">
        <v>45911</v>
      </c>
      <c r="B620" s="7" t="s">
        <v>56</v>
      </c>
      <c r="C620" s="2" t="str">
        <f t="shared" si="63"/>
        <v>Sep</v>
      </c>
      <c r="D620" s="2" t="str">
        <f t="shared" si="64"/>
        <v>Peak</v>
      </c>
      <c r="E620" s="2" t="str">
        <f t="shared" si="65"/>
        <v>Thu</v>
      </c>
      <c r="F620" s="8">
        <v>115</v>
      </c>
      <c r="G620" s="8">
        <v>125</v>
      </c>
      <c r="H620" s="9">
        <v>17011</v>
      </c>
      <c r="I620" s="10">
        <v>174</v>
      </c>
      <c r="J620" s="11">
        <f t="shared" si="66"/>
        <v>0.92</v>
      </c>
      <c r="K620" s="10">
        <f t="shared" si="67"/>
        <v>147.92173913043479</v>
      </c>
      <c r="L620" s="10">
        <f t="shared" si="68"/>
        <v>136.08799999999999</v>
      </c>
      <c r="M620" s="5">
        <f t="shared" si="69"/>
        <v>-26.078260869565213</v>
      </c>
      <c r="N620" s="1"/>
    </row>
    <row r="621" spans="1:14" x14ac:dyDescent="0.35">
      <c r="A621" s="6">
        <v>45912</v>
      </c>
      <c r="B621" s="7" t="s">
        <v>56</v>
      </c>
      <c r="C621" s="2" t="str">
        <f t="shared" si="63"/>
        <v>Sep</v>
      </c>
      <c r="D621" s="2" t="str">
        <f t="shared" si="64"/>
        <v>Peak</v>
      </c>
      <c r="E621" s="2" t="str">
        <f t="shared" si="65"/>
        <v>Fri</v>
      </c>
      <c r="F621" s="8">
        <v>99</v>
      </c>
      <c r="G621" s="8">
        <v>125</v>
      </c>
      <c r="H621" s="9">
        <v>31590</v>
      </c>
      <c r="I621" s="10">
        <v>180</v>
      </c>
      <c r="J621" s="11">
        <f t="shared" si="66"/>
        <v>0.79200000000000004</v>
      </c>
      <c r="K621" s="10">
        <f t="shared" si="67"/>
        <v>319.09090909090907</v>
      </c>
      <c r="L621" s="10">
        <f t="shared" si="68"/>
        <v>252.72</v>
      </c>
      <c r="M621" s="5">
        <f t="shared" si="69"/>
        <v>139.09090909090907</v>
      </c>
      <c r="N621" s="1"/>
    </row>
    <row r="622" spans="1:14" x14ac:dyDescent="0.35">
      <c r="A622" s="6">
        <v>45913</v>
      </c>
      <c r="B622" s="7" t="s">
        <v>56</v>
      </c>
      <c r="C622" s="2" t="str">
        <f t="shared" si="63"/>
        <v>Sep</v>
      </c>
      <c r="D622" s="2" t="str">
        <f t="shared" si="64"/>
        <v>Peak</v>
      </c>
      <c r="E622" s="2" t="str">
        <f t="shared" si="65"/>
        <v>Sat</v>
      </c>
      <c r="F622" s="8">
        <v>104</v>
      </c>
      <c r="G622" s="8">
        <v>125</v>
      </c>
      <c r="H622" s="9">
        <v>25692</v>
      </c>
      <c r="I622" s="10">
        <v>234</v>
      </c>
      <c r="J622" s="11">
        <f t="shared" si="66"/>
        <v>0.83199999999999996</v>
      </c>
      <c r="K622" s="10">
        <f t="shared" si="67"/>
        <v>247.03846153846155</v>
      </c>
      <c r="L622" s="10">
        <f t="shared" si="68"/>
        <v>205.536</v>
      </c>
      <c r="M622" s="5">
        <f t="shared" si="69"/>
        <v>13.038461538461547</v>
      </c>
      <c r="N622" s="1"/>
    </row>
    <row r="623" spans="1:14" x14ac:dyDescent="0.35">
      <c r="A623" s="6">
        <v>45914</v>
      </c>
      <c r="B623" s="7" t="s">
        <v>56</v>
      </c>
      <c r="C623" s="2" t="str">
        <f t="shared" si="63"/>
        <v>Sep</v>
      </c>
      <c r="D623" s="2" t="str">
        <f t="shared" si="64"/>
        <v>Peak</v>
      </c>
      <c r="E623" s="2" t="str">
        <f t="shared" si="65"/>
        <v>Sun</v>
      </c>
      <c r="F623" s="8">
        <v>107</v>
      </c>
      <c r="G623" s="8">
        <v>125</v>
      </c>
      <c r="H623" s="9">
        <v>33137</v>
      </c>
      <c r="I623" s="10">
        <v>206</v>
      </c>
      <c r="J623" s="11">
        <f t="shared" si="66"/>
        <v>0.85599999999999998</v>
      </c>
      <c r="K623" s="10">
        <f t="shared" si="67"/>
        <v>309.69158878504675</v>
      </c>
      <c r="L623" s="10">
        <f t="shared" si="68"/>
        <v>265.096</v>
      </c>
      <c r="M623" s="5">
        <f t="shared" si="69"/>
        <v>103.69158878504675</v>
      </c>
      <c r="N623" s="1"/>
    </row>
    <row r="624" spans="1:14" x14ac:dyDescent="0.35">
      <c r="A624" s="6">
        <v>45915</v>
      </c>
      <c r="B624" s="7" t="s">
        <v>56</v>
      </c>
      <c r="C624" s="2" t="str">
        <f t="shared" si="63"/>
        <v>Sep</v>
      </c>
      <c r="D624" s="2" t="str">
        <f t="shared" si="64"/>
        <v>Peak</v>
      </c>
      <c r="E624" s="2" t="str">
        <f t="shared" si="65"/>
        <v>Mon</v>
      </c>
      <c r="F624" s="8">
        <v>95</v>
      </c>
      <c r="G624" s="8">
        <v>125</v>
      </c>
      <c r="H624" s="9">
        <v>28869</v>
      </c>
      <c r="I624" s="10">
        <v>213</v>
      </c>
      <c r="J624" s="11">
        <f t="shared" si="66"/>
        <v>0.76</v>
      </c>
      <c r="K624" s="10">
        <f t="shared" si="67"/>
        <v>303.88421052631577</v>
      </c>
      <c r="L624" s="10">
        <f t="shared" si="68"/>
        <v>230.952</v>
      </c>
      <c r="M624" s="5">
        <f t="shared" si="69"/>
        <v>90.884210526315769</v>
      </c>
      <c r="N624" s="1"/>
    </row>
    <row r="625" spans="1:14" x14ac:dyDescent="0.35">
      <c r="A625" s="6">
        <v>45916</v>
      </c>
      <c r="B625" s="7" t="s">
        <v>56</v>
      </c>
      <c r="C625" s="2" t="str">
        <f t="shared" si="63"/>
        <v>Sep</v>
      </c>
      <c r="D625" s="2" t="str">
        <f t="shared" si="64"/>
        <v>Peak</v>
      </c>
      <c r="E625" s="2" t="str">
        <f t="shared" si="65"/>
        <v>Tue</v>
      </c>
      <c r="F625" s="8">
        <v>87</v>
      </c>
      <c r="G625" s="8">
        <v>125</v>
      </c>
      <c r="H625" s="9">
        <v>15057</v>
      </c>
      <c r="I625" s="10">
        <v>137</v>
      </c>
      <c r="J625" s="11">
        <f t="shared" si="66"/>
        <v>0.69599999999999995</v>
      </c>
      <c r="K625" s="10">
        <f t="shared" si="67"/>
        <v>173.06896551724137</v>
      </c>
      <c r="L625" s="10">
        <f t="shared" si="68"/>
        <v>120.456</v>
      </c>
      <c r="M625" s="5">
        <f t="shared" si="69"/>
        <v>36.068965517241367</v>
      </c>
      <c r="N625" s="1"/>
    </row>
    <row r="626" spans="1:14" x14ac:dyDescent="0.35">
      <c r="A626" s="6">
        <v>45917</v>
      </c>
      <c r="B626" s="7" t="s">
        <v>56</v>
      </c>
      <c r="C626" s="2" t="str">
        <f t="shared" si="63"/>
        <v>Sep</v>
      </c>
      <c r="D626" s="2" t="str">
        <f t="shared" si="64"/>
        <v>Peak</v>
      </c>
      <c r="E626" s="2" t="str">
        <f t="shared" si="65"/>
        <v>Wed</v>
      </c>
      <c r="F626" s="8">
        <v>107</v>
      </c>
      <c r="G626" s="8">
        <v>125</v>
      </c>
      <c r="H626" s="9">
        <v>11449</v>
      </c>
      <c r="I626" s="10">
        <v>144</v>
      </c>
      <c r="J626" s="11">
        <f t="shared" si="66"/>
        <v>0.85599999999999998</v>
      </c>
      <c r="K626" s="10">
        <f t="shared" si="67"/>
        <v>107</v>
      </c>
      <c r="L626" s="10">
        <f t="shared" si="68"/>
        <v>91.591999999999999</v>
      </c>
      <c r="M626" s="5">
        <f t="shared" si="69"/>
        <v>-37</v>
      </c>
      <c r="N626" s="1"/>
    </row>
    <row r="627" spans="1:14" x14ac:dyDescent="0.35">
      <c r="A627" s="6">
        <v>45918</v>
      </c>
      <c r="B627" s="7" t="s">
        <v>56</v>
      </c>
      <c r="C627" s="2" t="str">
        <f t="shared" si="63"/>
        <v>Sep</v>
      </c>
      <c r="D627" s="2" t="str">
        <f t="shared" si="64"/>
        <v>Peak</v>
      </c>
      <c r="E627" s="2" t="str">
        <f t="shared" si="65"/>
        <v>Thu</v>
      </c>
      <c r="F627" s="8">
        <v>102</v>
      </c>
      <c r="G627" s="8">
        <v>125</v>
      </c>
      <c r="H627" s="9">
        <v>16531</v>
      </c>
      <c r="I627" s="10">
        <v>180</v>
      </c>
      <c r="J627" s="11">
        <f t="shared" si="66"/>
        <v>0.81599999999999995</v>
      </c>
      <c r="K627" s="10">
        <f t="shared" si="67"/>
        <v>162.06862745098039</v>
      </c>
      <c r="L627" s="10">
        <f t="shared" si="68"/>
        <v>132.24799999999999</v>
      </c>
      <c r="M627" s="5">
        <f t="shared" si="69"/>
        <v>-17.931372549019613</v>
      </c>
      <c r="N627" s="1"/>
    </row>
    <row r="628" spans="1:14" x14ac:dyDescent="0.35">
      <c r="A628" s="6">
        <v>45919</v>
      </c>
      <c r="B628" s="7" t="s">
        <v>56</v>
      </c>
      <c r="C628" s="2" t="str">
        <f t="shared" si="63"/>
        <v>Sep</v>
      </c>
      <c r="D628" s="2" t="str">
        <f t="shared" si="64"/>
        <v>Peak</v>
      </c>
      <c r="E628" s="2" t="str">
        <f t="shared" si="65"/>
        <v>Fri</v>
      </c>
      <c r="F628" s="8">
        <v>115</v>
      </c>
      <c r="G628" s="8">
        <v>125</v>
      </c>
      <c r="H628" s="9">
        <v>12257</v>
      </c>
      <c r="I628" s="10">
        <v>210</v>
      </c>
      <c r="J628" s="11">
        <f t="shared" si="66"/>
        <v>0.92</v>
      </c>
      <c r="K628" s="10">
        <f t="shared" si="67"/>
        <v>106.58260869565217</v>
      </c>
      <c r="L628" s="10">
        <f t="shared" si="68"/>
        <v>98.055999999999997</v>
      </c>
      <c r="M628" s="5">
        <f t="shared" si="69"/>
        <v>-103.41739130434783</v>
      </c>
      <c r="N628" s="1"/>
    </row>
    <row r="629" spans="1:14" x14ac:dyDescent="0.35">
      <c r="A629" s="6">
        <v>45920</v>
      </c>
      <c r="B629" s="7" t="s">
        <v>56</v>
      </c>
      <c r="C629" s="2" t="str">
        <f t="shared" si="63"/>
        <v>Sep</v>
      </c>
      <c r="D629" s="2" t="str">
        <f t="shared" si="64"/>
        <v>Peak</v>
      </c>
      <c r="E629" s="2" t="str">
        <f t="shared" si="65"/>
        <v>Sat</v>
      </c>
      <c r="F629" s="8">
        <v>92</v>
      </c>
      <c r="G629" s="8">
        <v>125</v>
      </c>
      <c r="H629" s="9">
        <v>28776</v>
      </c>
      <c r="I629" s="10">
        <v>244</v>
      </c>
      <c r="J629" s="11">
        <f t="shared" si="66"/>
        <v>0.73599999999999999</v>
      </c>
      <c r="K629" s="10">
        <f t="shared" si="67"/>
        <v>312.78260869565219</v>
      </c>
      <c r="L629" s="10">
        <f t="shared" si="68"/>
        <v>230.208</v>
      </c>
      <c r="M629" s="5">
        <f t="shared" si="69"/>
        <v>68.782608695652186</v>
      </c>
      <c r="N629" s="1"/>
    </row>
    <row r="630" spans="1:14" x14ac:dyDescent="0.35">
      <c r="A630" s="6">
        <v>45921</v>
      </c>
      <c r="B630" s="7" t="s">
        <v>56</v>
      </c>
      <c r="C630" s="2" t="str">
        <f t="shared" si="63"/>
        <v>Sep</v>
      </c>
      <c r="D630" s="2" t="str">
        <f t="shared" si="64"/>
        <v>Peak</v>
      </c>
      <c r="E630" s="2" t="str">
        <f t="shared" si="65"/>
        <v>Sun</v>
      </c>
      <c r="F630" s="8">
        <v>89</v>
      </c>
      <c r="G630" s="8">
        <v>125</v>
      </c>
      <c r="H630" s="9">
        <v>17994</v>
      </c>
      <c r="I630" s="10">
        <v>163</v>
      </c>
      <c r="J630" s="11">
        <f t="shared" si="66"/>
        <v>0.71199999999999997</v>
      </c>
      <c r="K630" s="10">
        <f t="shared" si="67"/>
        <v>202.17977528089887</v>
      </c>
      <c r="L630" s="10">
        <f t="shared" si="68"/>
        <v>143.952</v>
      </c>
      <c r="M630" s="5">
        <f t="shared" si="69"/>
        <v>39.179775280898866</v>
      </c>
      <c r="N630" s="1"/>
    </row>
    <row r="631" spans="1:14" x14ac:dyDescent="0.35">
      <c r="A631" s="6">
        <v>45922</v>
      </c>
      <c r="B631" s="7" t="s">
        <v>56</v>
      </c>
      <c r="C631" s="2" t="str">
        <f t="shared" si="63"/>
        <v>Sep</v>
      </c>
      <c r="D631" s="2" t="str">
        <f t="shared" si="64"/>
        <v>Peak</v>
      </c>
      <c r="E631" s="2" t="str">
        <f t="shared" si="65"/>
        <v>Mon</v>
      </c>
      <c r="F631" s="8">
        <v>117</v>
      </c>
      <c r="G631" s="8">
        <v>125</v>
      </c>
      <c r="H631" s="9">
        <v>31109</v>
      </c>
      <c r="I631" s="10">
        <v>245</v>
      </c>
      <c r="J631" s="11">
        <f t="shared" si="66"/>
        <v>0.93600000000000005</v>
      </c>
      <c r="K631" s="10">
        <f t="shared" si="67"/>
        <v>265.88888888888891</v>
      </c>
      <c r="L631" s="10">
        <f t="shared" si="68"/>
        <v>248.87200000000001</v>
      </c>
      <c r="M631" s="5">
        <f t="shared" si="69"/>
        <v>20.888888888888914</v>
      </c>
      <c r="N631" s="1"/>
    </row>
    <row r="632" spans="1:14" x14ac:dyDescent="0.35">
      <c r="A632" s="6">
        <v>45923</v>
      </c>
      <c r="B632" s="7" t="s">
        <v>56</v>
      </c>
      <c r="C632" s="2" t="str">
        <f t="shared" si="63"/>
        <v>Sep</v>
      </c>
      <c r="D632" s="2" t="str">
        <f t="shared" si="64"/>
        <v>Peak</v>
      </c>
      <c r="E632" s="2" t="str">
        <f t="shared" si="65"/>
        <v>Tue</v>
      </c>
      <c r="F632" s="8">
        <v>99</v>
      </c>
      <c r="G632" s="8">
        <v>125</v>
      </c>
      <c r="H632" s="9">
        <v>22524</v>
      </c>
      <c r="I632" s="10">
        <v>176</v>
      </c>
      <c r="J632" s="11">
        <f t="shared" si="66"/>
        <v>0.79200000000000004</v>
      </c>
      <c r="K632" s="10">
        <f t="shared" si="67"/>
        <v>227.5151515151515</v>
      </c>
      <c r="L632" s="10">
        <f t="shared" si="68"/>
        <v>180.19200000000001</v>
      </c>
      <c r="M632" s="5">
        <f t="shared" si="69"/>
        <v>51.515151515151501</v>
      </c>
      <c r="N632" s="1"/>
    </row>
    <row r="633" spans="1:14" x14ac:dyDescent="0.35">
      <c r="A633" s="6">
        <v>45924</v>
      </c>
      <c r="B633" s="7" t="s">
        <v>56</v>
      </c>
      <c r="C633" s="2" t="str">
        <f t="shared" si="63"/>
        <v>Sep</v>
      </c>
      <c r="D633" s="2" t="str">
        <f t="shared" si="64"/>
        <v>Peak</v>
      </c>
      <c r="E633" s="2" t="str">
        <f t="shared" si="65"/>
        <v>Wed</v>
      </c>
      <c r="F633" s="8">
        <v>120</v>
      </c>
      <c r="G633" s="8">
        <v>125</v>
      </c>
      <c r="H633" s="9">
        <v>11233</v>
      </c>
      <c r="I633" s="10">
        <v>241</v>
      </c>
      <c r="J633" s="11">
        <f t="shared" si="66"/>
        <v>0.96</v>
      </c>
      <c r="K633" s="10">
        <f t="shared" si="67"/>
        <v>93.608333333333334</v>
      </c>
      <c r="L633" s="10">
        <f t="shared" si="68"/>
        <v>89.864000000000004</v>
      </c>
      <c r="M633" s="5">
        <f t="shared" si="69"/>
        <v>-147.39166666666665</v>
      </c>
      <c r="N633" s="1"/>
    </row>
    <row r="634" spans="1:14" x14ac:dyDescent="0.35">
      <c r="A634" s="6">
        <v>45925</v>
      </c>
      <c r="B634" s="7" t="s">
        <v>56</v>
      </c>
      <c r="C634" s="2" t="str">
        <f t="shared" si="63"/>
        <v>Sep</v>
      </c>
      <c r="D634" s="2" t="str">
        <f t="shared" si="64"/>
        <v>Peak</v>
      </c>
      <c r="E634" s="2" t="str">
        <f t="shared" si="65"/>
        <v>Thu</v>
      </c>
      <c r="F634" s="8">
        <v>109</v>
      </c>
      <c r="G634" s="8">
        <v>125</v>
      </c>
      <c r="H634" s="9">
        <v>18512</v>
      </c>
      <c r="I634" s="10">
        <v>171</v>
      </c>
      <c r="J634" s="11">
        <f t="shared" si="66"/>
        <v>0.872</v>
      </c>
      <c r="K634" s="10">
        <f t="shared" si="67"/>
        <v>169.83486238532109</v>
      </c>
      <c r="L634" s="10">
        <f t="shared" si="68"/>
        <v>148.096</v>
      </c>
      <c r="M634" s="5">
        <f t="shared" si="69"/>
        <v>-1.1651376146789119</v>
      </c>
      <c r="N634" s="1"/>
    </row>
    <row r="635" spans="1:14" x14ac:dyDescent="0.35">
      <c r="A635" s="6">
        <v>45926</v>
      </c>
      <c r="B635" s="7" t="s">
        <v>56</v>
      </c>
      <c r="C635" s="2" t="str">
        <f t="shared" si="63"/>
        <v>Sep</v>
      </c>
      <c r="D635" s="2" t="str">
        <f t="shared" si="64"/>
        <v>Peak</v>
      </c>
      <c r="E635" s="2" t="str">
        <f t="shared" si="65"/>
        <v>Fri</v>
      </c>
      <c r="F635" s="8">
        <v>106</v>
      </c>
      <c r="G635" s="8">
        <v>125</v>
      </c>
      <c r="H635" s="9">
        <v>24669</v>
      </c>
      <c r="I635" s="10">
        <v>200</v>
      </c>
      <c r="J635" s="11">
        <f t="shared" si="66"/>
        <v>0.84799999999999998</v>
      </c>
      <c r="K635" s="10">
        <f t="shared" si="67"/>
        <v>232.72641509433961</v>
      </c>
      <c r="L635" s="10">
        <f t="shared" si="68"/>
        <v>197.352</v>
      </c>
      <c r="M635" s="5">
        <f t="shared" si="69"/>
        <v>32.726415094339615</v>
      </c>
      <c r="N635" s="1"/>
    </row>
    <row r="636" spans="1:14" x14ac:dyDescent="0.35">
      <c r="A636" s="6">
        <v>45927</v>
      </c>
      <c r="B636" s="7" t="s">
        <v>56</v>
      </c>
      <c r="C636" s="2" t="str">
        <f t="shared" si="63"/>
        <v>Sep</v>
      </c>
      <c r="D636" s="2" t="str">
        <f t="shared" si="64"/>
        <v>Peak</v>
      </c>
      <c r="E636" s="2" t="str">
        <f t="shared" si="65"/>
        <v>Sat</v>
      </c>
      <c r="F636" s="8">
        <v>87</v>
      </c>
      <c r="G636" s="8">
        <v>125</v>
      </c>
      <c r="H636" s="9">
        <v>33997</v>
      </c>
      <c r="I636" s="10">
        <v>213</v>
      </c>
      <c r="J636" s="11">
        <f t="shared" si="66"/>
        <v>0.69599999999999995</v>
      </c>
      <c r="K636" s="10">
        <f t="shared" si="67"/>
        <v>390.77011494252872</v>
      </c>
      <c r="L636" s="10">
        <f t="shared" si="68"/>
        <v>271.976</v>
      </c>
      <c r="M636" s="5">
        <f t="shared" si="69"/>
        <v>177.77011494252872</v>
      </c>
      <c r="N636" s="1"/>
    </row>
    <row r="637" spans="1:14" x14ac:dyDescent="0.35">
      <c r="A637" s="6">
        <v>45928</v>
      </c>
      <c r="B637" s="7" t="s">
        <v>56</v>
      </c>
      <c r="C637" s="2" t="str">
        <f t="shared" si="63"/>
        <v>Sep</v>
      </c>
      <c r="D637" s="2" t="str">
        <f t="shared" si="64"/>
        <v>Peak</v>
      </c>
      <c r="E637" s="2" t="str">
        <f t="shared" si="65"/>
        <v>Sun</v>
      </c>
      <c r="F637" s="8">
        <v>112</v>
      </c>
      <c r="G637" s="8">
        <v>125</v>
      </c>
      <c r="H637" s="9">
        <v>29429</v>
      </c>
      <c r="I637" s="10">
        <v>124</v>
      </c>
      <c r="J637" s="11">
        <f t="shared" si="66"/>
        <v>0.89600000000000002</v>
      </c>
      <c r="K637" s="10">
        <f t="shared" si="67"/>
        <v>262.75892857142856</v>
      </c>
      <c r="L637" s="10">
        <f t="shared" si="68"/>
        <v>235.43199999999999</v>
      </c>
      <c r="M637" s="5">
        <f t="shared" si="69"/>
        <v>138.75892857142856</v>
      </c>
      <c r="N637" s="1"/>
    </row>
    <row r="638" spans="1:14" x14ac:dyDescent="0.35">
      <c r="A638" s="6">
        <v>45929</v>
      </c>
      <c r="B638" s="7" t="s">
        <v>56</v>
      </c>
      <c r="C638" s="2" t="str">
        <f t="shared" si="63"/>
        <v>Sep</v>
      </c>
      <c r="D638" s="2" t="str">
        <f t="shared" si="64"/>
        <v>Peak</v>
      </c>
      <c r="E638" s="2" t="str">
        <f t="shared" si="65"/>
        <v>Mon</v>
      </c>
      <c r="F638" s="8">
        <v>92</v>
      </c>
      <c r="G638" s="8">
        <v>125</v>
      </c>
      <c r="H638" s="9">
        <v>13500</v>
      </c>
      <c r="I638" s="10">
        <v>141</v>
      </c>
      <c r="J638" s="11">
        <f t="shared" si="66"/>
        <v>0.73599999999999999</v>
      </c>
      <c r="K638" s="10">
        <f t="shared" si="67"/>
        <v>146.7391304347826</v>
      </c>
      <c r="L638" s="10">
        <f t="shared" si="68"/>
        <v>108</v>
      </c>
      <c r="M638" s="5">
        <f t="shared" si="69"/>
        <v>5.7391304347825951</v>
      </c>
      <c r="N638" s="1"/>
    </row>
    <row r="639" spans="1:14" x14ac:dyDescent="0.35">
      <c r="A639" s="6">
        <v>45930</v>
      </c>
      <c r="B639" s="7" t="s">
        <v>56</v>
      </c>
      <c r="C639" s="2" t="str">
        <f t="shared" si="63"/>
        <v>Sep</v>
      </c>
      <c r="D639" s="2" t="str">
        <f t="shared" si="64"/>
        <v>Peak</v>
      </c>
      <c r="E639" s="2" t="str">
        <f t="shared" si="65"/>
        <v>Tue</v>
      </c>
      <c r="F639" s="8">
        <v>105</v>
      </c>
      <c r="G639" s="8">
        <v>125</v>
      </c>
      <c r="H639" s="9">
        <v>28379</v>
      </c>
      <c r="I639" s="10">
        <v>200</v>
      </c>
      <c r="J639" s="11">
        <f t="shared" si="66"/>
        <v>0.84</v>
      </c>
      <c r="K639" s="10">
        <f t="shared" si="67"/>
        <v>270.27619047619049</v>
      </c>
      <c r="L639" s="10">
        <f t="shared" si="68"/>
        <v>227.03200000000001</v>
      </c>
      <c r="M639" s="5">
        <f t="shared" si="69"/>
        <v>70.276190476190493</v>
      </c>
      <c r="N639" s="1"/>
    </row>
    <row r="640" spans="1:14" x14ac:dyDescent="0.35">
      <c r="A640" s="6">
        <v>45931</v>
      </c>
      <c r="B640" s="7" t="s">
        <v>56</v>
      </c>
      <c r="C640" s="2" t="str">
        <f t="shared" si="63"/>
        <v>Oct</v>
      </c>
      <c r="D640" s="2" t="str">
        <f t="shared" si="64"/>
        <v>Off-Peak</v>
      </c>
      <c r="E640" s="2" t="str">
        <f t="shared" si="65"/>
        <v>Wed</v>
      </c>
      <c r="F640" s="8">
        <v>109</v>
      </c>
      <c r="G640" s="8">
        <v>125</v>
      </c>
      <c r="H640" s="9">
        <v>13498</v>
      </c>
      <c r="I640" s="10">
        <v>186</v>
      </c>
      <c r="J640" s="11">
        <f t="shared" si="66"/>
        <v>0.872</v>
      </c>
      <c r="K640" s="10">
        <f t="shared" si="67"/>
        <v>123.8348623853211</v>
      </c>
      <c r="L640" s="10">
        <f t="shared" si="68"/>
        <v>107.98399999999999</v>
      </c>
      <c r="M640" s="5">
        <f t="shared" si="69"/>
        <v>-62.165137614678898</v>
      </c>
      <c r="N640" s="1"/>
    </row>
    <row r="641" spans="1:14" x14ac:dyDescent="0.35">
      <c r="A641" s="6">
        <v>45932</v>
      </c>
      <c r="B641" s="7" t="s">
        <v>56</v>
      </c>
      <c r="C641" s="2" t="str">
        <f t="shared" si="63"/>
        <v>Oct</v>
      </c>
      <c r="D641" s="2" t="str">
        <f t="shared" si="64"/>
        <v>Off-Peak</v>
      </c>
      <c r="E641" s="2" t="str">
        <f t="shared" si="65"/>
        <v>Thu</v>
      </c>
      <c r="F641" s="8">
        <v>91</v>
      </c>
      <c r="G641" s="8">
        <v>125</v>
      </c>
      <c r="H641" s="9">
        <v>24868</v>
      </c>
      <c r="I641" s="10">
        <v>227</v>
      </c>
      <c r="J641" s="11">
        <f t="shared" si="66"/>
        <v>0.72799999999999998</v>
      </c>
      <c r="K641" s="10">
        <f t="shared" si="67"/>
        <v>273.27472527472526</v>
      </c>
      <c r="L641" s="10">
        <f t="shared" si="68"/>
        <v>198.94399999999999</v>
      </c>
      <c r="M641" s="5">
        <f t="shared" si="69"/>
        <v>46.274725274725256</v>
      </c>
      <c r="N641" s="1"/>
    </row>
    <row r="642" spans="1:14" x14ac:dyDescent="0.35">
      <c r="A642" s="6">
        <v>45933</v>
      </c>
      <c r="B642" s="7" t="s">
        <v>56</v>
      </c>
      <c r="C642" s="2" t="str">
        <f t="shared" ref="C642:C705" si="70">CHOOSE(MONTH(A642),"Jan","Feb","Mar","Apr","May","Jun","Jul","Aug","Sep","Oct","Nov","Dec")</f>
        <v>Oct</v>
      </c>
      <c r="D642" s="2" t="str">
        <f t="shared" ref="D642:D705" si="71">IF(AND(MONTH(A642)&gt;=5,MONTH(A642)&lt;=9),"Peak","Off-Peak")</f>
        <v>Off-Peak</v>
      </c>
      <c r="E642" s="2" t="str">
        <f t="shared" ref="E642:E705" si="72">CHOOSE(WEEKDAY(A642,2),"Mon","Tue","Wed","Thu","Fri","Sat","Sun")</f>
        <v>Fri</v>
      </c>
      <c r="F642" s="8">
        <v>103</v>
      </c>
      <c r="G642" s="8">
        <v>125</v>
      </c>
      <c r="H642" s="9">
        <v>22658</v>
      </c>
      <c r="I642" s="10">
        <v>238</v>
      </c>
      <c r="J642" s="11">
        <f t="shared" ref="J642:J705" si="73">IF(G642=0,0,F642/G642)</f>
        <v>0.82399999999999995</v>
      </c>
      <c r="K642" s="10">
        <f t="shared" ref="K642:K705" si="74">IF(F642=0,0,H642/F642)</f>
        <v>219.98058252427185</v>
      </c>
      <c r="L642" s="10">
        <f t="shared" ref="L642:L705" si="75">IF(G642=0,0,H642/G642)</f>
        <v>181.26400000000001</v>
      </c>
      <c r="M642" s="5">
        <f t="shared" ref="M642:M705" si="76">K642-I642</f>
        <v>-18.019417475728147</v>
      </c>
      <c r="N642" s="1"/>
    </row>
    <row r="643" spans="1:14" x14ac:dyDescent="0.35">
      <c r="A643" s="6">
        <v>45934</v>
      </c>
      <c r="B643" s="7" t="s">
        <v>56</v>
      </c>
      <c r="C643" s="2" t="str">
        <f t="shared" si="70"/>
        <v>Oct</v>
      </c>
      <c r="D643" s="2" t="str">
        <f t="shared" si="71"/>
        <v>Off-Peak</v>
      </c>
      <c r="E643" s="2" t="str">
        <f t="shared" si="72"/>
        <v>Sat</v>
      </c>
      <c r="F643" s="8">
        <v>114</v>
      </c>
      <c r="G643" s="8">
        <v>125</v>
      </c>
      <c r="H643" s="9">
        <v>25295</v>
      </c>
      <c r="I643" s="10">
        <v>135</v>
      </c>
      <c r="J643" s="11">
        <f t="shared" si="73"/>
        <v>0.91200000000000003</v>
      </c>
      <c r="K643" s="10">
        <f t="shared" si="74"/>
        <v>221.88596491228071</v>
      </c>
      <c r="L643" s="10">
        <f t="shared" si="75"/>
        <v>202.36</v>
      </c>
      <c r="M643" s="5">
        <f t="shared" si="76"/>
        <v>86.885964912280713</v>
      </c>
      <c r="N643" s="1"/>
    </row>
    <row r="644" spans="1:14" x14ac:dyDescent="0.35">
      <c r="A644" s="6">
        <v>45935</v>
      </c>
      <c r="B644" s="7" t="s">
        <v>56</v>
      </c>
      <c r="C644" s="2" t="str">
        <f t="shared" si="70"/>
        <v>Oct</v>
      </c>
      <c r="D644" s="2" t="str">
        <f t="shared" si="71"/>
        <v>Off-Peak</v>
      </c>
      <c r="E644" s="2" t="str">
        <f t="shared" si="72"/>
        <v>Sun</v>
      </c>
      <c r="F644" s="8">
        <v>85</v>
      </c>
      <c r="G644" s="8">
        <v>125</v>
      </c>
      <c r="H644" s="9">
        <v>18877</v>
      </c>
      <c r="I644" s="10">
        <v>133</v>
      </c>
      <c r="J644" s="11">
        <f t="shared" si="73"/>
        <v>0.68</v>
      </c>
      <c r="K644" s="10">
        <f t="shared" si="74"/>
        <v>222.08235294117648</v>
      </c>
      <c r="L644" s="10">
        <f t="shared" si="75"/>
        <v>151.01599999999999</v>
      </c>
      <c r="M644" s="5">
        <f t="shared" si="76"/>
        <v>89.082352941176481</v>
      </c>
      <c r="N644" s="1"/>
    </row>
    <row r="645" spans="1:14" x14ac:dyDescent="0.35">
      <c r="A645" s="6">
        <v>45936</v>
      </c>
      <c r="B645" s="7" t="s">
        <v>56</v>
      </c>
      <c r="C645" s="2" t="str">
        <f t="shared" si="70"/>
        <v>Oct</v>
      </c>
      <c r="D645" s="2" t="str">
        <f t="shared" si="71"/>
        <v>Off-Peak</v>
      </c>
      <c r="E645" s="2" t="str">
        <f t="shared" si="72"/>
        <v>Mon</v>
      </c>
      <c r="F645" s="8">
        <v>119</v>
      </c>
      <c r="G645" s="8">
        <v>125</v>
      </c>
      <c r="H645" s="9">
        <v>34257</v>
      </c>
      <c r="I645" s="10">
        <v>151</v>
      </c>
      <c r="J645" s="11">
        <f t="shared" si="73"/>
        <v>0.95199999999999996</v>
      </c>
      <c r="K645" s="10">
        <f t="shared" si="74"/>
        <v>287.87394957983196</v>
      </c>
      <c r="L645" s="10">
        <f t="shared" si="75"/>
        <v>274.05599999999998</v>
      </c>
      <c r="M645" s="5">
        <f t="shared" si="76"/>
        <v>136.87394957983196</v>
      </c>
      <c r="N645" s="1"/>
    </row>
    <row r="646" spans="1:14" x14ac:dyDescent="0.35">
      <c r="A646" s="6">
        <v>45937</v>
      </c>
      <c r="B646" s="7" t="s">
        <v>56</v>
      </c>
      <c r="C646" s="2" t="str">
        <f t="shared" si="70"/>
        <v>Oct</v>
      </c>
      <c r="D646" s="2" t="str">
        <f t="shared" si="71"/>
        <v>Off-Peak</v>
      </c>
      <c r="E646" s="2" t="str">
        <f t="shared" si="72"/>
        <v>Tue</v>
      </c>
      <c r="F646" s="8">
        <v>94</v>
      </c>
      <c r="G646" s="8">
        <v>125</v>
      </c>
      <c r="H646" s="9">
        <v>17348</v>
      </c>
      <c r="I646" s="10">
        <v>198</v>
      </c>
      <c r="J646" s="11">
        <f t="shared" si="73"/>
        <v>0.752</v>
      </c>
      <c r="K646" s="10">
        <f t="shared" si="74"/>
        <v>184.55319148936169</v>
      </c>
      <c r="L646" s="10">
        <f t="shared" si="75"/>
        <v>138.78399999999999</v>
      </c>
      <c r="M646" s="5">
        <f t="shared" si="76"/>
        <v>-13.446808510638306</v>
      </c>
      <c r="N646" s="1"/>
    </row>
    <row r="647" spans="1:14" x14ac:dyDescent="0.35">
      <c r="A647" s="6">
        <v>45938</v>
      </c>
      <c r="B647" s="7" t="s">
        <v>56</v>
      </c>
      <c r="C647" s="2" t="str">
        <f t="shared" si="70"/>
        <v>Oct</v>
      </c>
      <c r="D647" s="2" t="str">
        <f t="shared" si="71"/>
        <v>Off-Peak</v>
      </c>
      <c r="E647" s="2" t="str">
        <f t="shared" si="72"/>
        <v>Wed</v>
      </c>
      <c r="F647" s="8">
        <v>118</v>
      </c>
      <c r="G647" s="8">
        <v>125</v>
      </c>
      <c r="H647" s="9">
        <v>32694</v>
      </c>
      <c r="I647" s="10">
        <v>222</v>
      </c>
      <c r="J647" s="11">
        <f t="shared" si="73"/>
        <v>0.94399999999999995</v>
      </c>
      <c r="K647" s="10">
        <f t="shared" si="74"/>
        <v>277.06779661016947</v>
      </c>
      <c r="L647" s="10">
        <f t="shared" si="75"/>
        <v>261.55200000000002</v>
      </c>
      <c r="M647" s="5">
        <f t="shared" si="76"/>
        <v>55.067796610169466</v>
      </c>
      <c r="N647" s="1"/>
    </row>
    <row r="648" spans="1:14" x14ac:dyDescent="0.35">
      <c r="A648" s="6">
        <v>45939</v>
      </c>
      <c r="B648" s="7" t="s">
        <v>56</v>
      </c>
      <c r="C648" s="2" t="str">
        <f t="shared" si="70"/>
        <v>Oct</v>
      </c>
      <c r="D648" s="2" t="str">
        <f t="shared" si="71"/>
        <v>Off-Peak</v>
      </c>
      <c r="E648" s="2" t="str">
        <f t="shared" si="72"/>
        <v>Thu</v>
      </c>
      <c r="F648" s="8">
        <v>94</v>
      </c>
      <c r="G648" s="8">
        <v>125</v>
      </c>
      <c r="H648" s="9">
        <v>21598</v>
      </c>
      <c r="I648" s="10">
        <v>210</v>
      </c>
      <c r="J648" s="11">
        <f t="shared" si="73"/>
        <v>0.752</v>
      </c>
      <c r="K648" s="10">
        <f t="shared" si="74"/>
        <v>229.7659574468085</v>
      </c>
      <c r="L648" s="10">
        <f t="shared" si="75"/>
        <v>172.78399999999999</v>
      </c>
      <c r="M648" s="5">
        <f t="shared" si="76"/>
        <v>19.7659574468085</v>
      </c>
      <c r="N648" s="1"/>
    </row>
    <row r="649" spans="1:14" x14ac:dyDescent="0.35">
      <c r="A649" s="6">
        <v>45940</v>
      </c>
      <c r="B649" s="7" t="s">
        <v>56</v>
      </c>
      <c r="C649" s="2" t="str">
        <f t="shared" si="70"/>
        <v>Oct</v>
      </c>
      <c r="D649" s="2" t="str">
        <f t="shared" si="71"/>
        <v>Off-Peak</v>
      </c>
      <c r="E649" s="2" t="str">
        <f t="shared" si="72"/>
        <v>Fri</v>
      </c>
      <c r="F649" s="8">
        <v>120</v>
      </c>
      <c r="G649" s="8">
        <v>125</v>
      </c>
      <c r="H649" s="9">
        <v>19621</v>
      </c>
      <c r="I649" s="10">
        <v>127</v>
      </c>
      <c r="J649" s="11">
        <f t="shared" si="73"/>
        <v>0.96</v>
      </c>
      <c r="K649" s="10">
        <f t="shared" si="74"/>
        <v>163.50833333333333</v>
      </c>
      <c r="L649" s="10">
        <f t="shared" si="75"/>
        <v>156.96799999999999</v>
      </c>
      <c r="M649" s="5">
        <f t="shared" si="76"/>
        <v>36.508333333333326</v>
      </c>
      <c r="N649" s="1"/>
    </row>
    <row r="650" spans="1:14" x14ac:dyDescent="0.35">
      <c r="A650" s="6">
        <v>45941</v>
      </c>
      <c r="B650" s="7" t="s">
        <v>56</v>
      </c>
      <c r="C650" s="2" t="str">
        <f t="shared" si="70"/>
        <v>Oct</v>
      </c>
      <c r="D650" s="2" t="str">
        <f t="shared" si="71"/>
        <v>Off-Peak</v>
      </c>
      <c r="E650" s="2" t="str">
        <f t="shared" si="72"/>
        <v>Sat</v>
      </c>
      <c r="F650" s="8">
        <v>118</v>
      </c>
      <c r="G650" s="8">
        <v>125</v>
      </c>
      <c r="H650" s="9">
        <v>30558</v>
      </c>
      <c r="I650" s="10">
        <v>226</v>
      </c>
      <c r="J650" s="11">
        <f t="shared" si="73"/>
        <v>0.94399999999999995</v>
      </c>
      <c r="K650" s="10">
        <f t="shared" si="74"/>
        <v>258.96610169491527</v>
      </c>
      <c r="L650" s="10">
        <f t="shared" si="75"/>
        <v>244.464</v>
      </c>
      <c r="M650" s="5">
        <f t="shared" si="76"/>
        <v>32.966101694915267</v>
      </c>
      <c r="N650" s="1"/>
    </row>
    <row r="651" spans="1:14" x14ac:dyDescent="0.35">
      <c r="A651" s="6">
        <v>45942</v>
      </c>
      <c r="B651" s="7" t="s">
        <v>56</v>
      </c>
      <c r="C651" s="2" t="str">
        <f t="shared" si="70"/>
        <v>Oct</v>
      </c>
      <c r="D651" s="2" t="str">
        <f t="shared" si="71"/>
        <v>Off-Peak</v>
      </c>
      <c r="E651" s="2" t="str">
        <f t="shared" si="72"/>
        <v>Sun</v>
      </c>
      <c r="F651" s="8">
        <v>97</v>
      </c>
      <c r="G651" s="8">
        <v>125</v>
      </c>
      <c r="H651" s="9">
        <v>19890</v>
      </c>
      <c r="I651" s="10">
        <v>216</v>
      </c>
      <c r="J651" s="11">
        <f t="shared" si="73"/>
        <v>0.77600000000000002</v>
      </c>
      <c r="K651" s="10">
        <f t="shared" si="74"/>
        <v>205.05154639175257</v>
      </c>
      <c r="L651" s="10">
        <f t="shared" si="75"/>
        <v>159.12</v>
      </c>
      <c r="M651" s="5">
        <f t="shared" si="76"/>
        <v>-10.948453608247434</v>
      </c>
      <c r="N651" s="1"/>
    </row>
    <row r="652" spans="1:14" x14ac:dyDescent="0.35">
      <c r="A652" s="6">
        <v>45943</v>
      </c>
      <c r="B652" s="7" t="s">
        <v>56</v>
      </c>
      <c r="C652" s="2" t="str">
        <f t="shared" si="70"/>
        <v>Oct</v>
      </c>
      <c r="D652" s="2" t="str">
        <f t="shared" si="71"/>
        <v>Off-Peak</v>
      </c>
      <c r="E652" s="2" t="str">
        <f t="shared" si="72"/>
        <v>Mon</v>
      </c>
      <c r="F652" s="8">
        <v>120</v>
      </c>
      <c r="G652" s="8">
        <v>125</v>
      </c>
      <c r="H652" s="9">
        <v>32741</v>
      </c>
      <c r="I652" s="10">
        <v>246</v>
      </c>
      <c r="J652" s="11">
        <f t="shared" si="73"/>
        <v>0.96</v>
      </c>
      <c r="K652" s="10">
        <f t="shared" si="74"/>
        <v>272.84166666666664</v>
      </c>
      <c r="L652" s="10">
        <f t="shared" si="75"/>
        <v>261.928</v>
      </c>
      <c r="M652" s="5">
        <f t="shared" si="76"/>
        <v>26.84166666666664</v>
      </c>
      <c r="N652" s="1"/>
    </row>
    <row r="653" spans="1:14" x14ac:dyDescent="0.35">
      <c r="A653" s="6">
        <v>45944</v>
      </c>
      <c r="B653" s="7" t="s">
        <v>56</v>
      </c>
      <c r="C653" s="2" t="str">
        <f t="shared" si="70"/>
        <v>Oct</v>
      </c>
      <c r="D653" s="2" t="str">
        <f t="shared" si="71"/>
        <v>Off-Peak</v>
      </c>
      <c r="E653" s="2" t="str">
        <f t="shared" si="72"/>
        <v>Tue</v>
      </c>
      <c r="F653" s="8">
        <v>104</v>
      </c>
      <c r="G653" s="8">
        <v>125</v>
      </c>
      <c r="H653" s="9">
        <v>28530</v>
      </c>
      <c r="I653" s="10">
        <v>198</v>
      </c>
      <c r="J653" s="11">
        <f t="shared" si="73"/>
        <v>0.83199999999999996</v>
      </c>
      <c r="K653" s="10">
        <f t="shared" si="74"/>
        <v>274.32692307692309</v>
      </c>
      <c r="L653" s="10">
        <f t="shared" si="75"/>
        <v>228.24</v>
      </c>
      <c r="M653" s="5">
        <f t="shared" si="76"/>
        <v>76.326923076923094</v>
      </c>
      <c r="N653" s="1"/>
    </row>
    <row r="654" spans="1:14" x14ac:dyDescent="0.35">
      <c r="A654" s="6">
        <v>45945</v>
      </c>
      <c r="B654" s="7" t="s">
        <v>56</v>
      </c>
      <c r="C654" s="2" t="str">
        <f t="shared" si="70"/>
        <v>Oct</v>
      </c>
      <c r="D654" s="2" t="str">
        <f t="shared" si="71"/>
        <v>Off-Peak</v>
      </c>
      <c r="E654" s="2" t="str">
        <f t="shared" si="72"/>
        <v>Wed</v>
      </c>
      <c r="F654" s="8">
        <v>94</v>
      </c>
      <c r="G654" s="8">
        <v>125</v>
      </c>
      <c r="H654" s="9">
        <v>34198</v>
      </c>
      <c r="I654" s="10">
        <v>174</v>
      </c>
      <c r="J654" s="11">
        <f t="shared" si="73"/>
        <v>0.752</v>
      </c>
      <c r="K654" s="10">
        <f t="shared" si="74"/>
        <v>363.80851063829789</v>
      </c>
      <c r="L654" s="10">
        <f t="shared" si="75"/>
        <v>273.584</v>
      </c>
      <c r="M654" s="5">
        <f t="shared" si="76"/>
        <v>189.80851063829789</v>
      </c>
      <c r="N654" s="1"/>
    </row>
    <row r="655" spans="1:14" x14ac:dyDescent="0.35">
      <c r="A655" s="6">
        <v>45946</v>
      </c>
      <c r="B655" s="7" t="s">
        <v>56</v>
      </c>
      <c r="C655" s="2" t="str">
        <f t="shared" si="70"/>
        <v>Oct</v>
      </c>
      <c r="D655" s="2" t="str">
        <f t="shared" si="71"/>
        <v>Off-Peak</v>
      </c>
      <c r="E655" s="2" t="str">
        <f t="shared" si="72"/>
        <v>Thu</v>
      </c>
      <c r="F655" s="8">
        <v>93</v>
      </c>
      <c r="G655" s="8">
        <v>125</v>
      </c>
      <c r="H655" s="9">
        <v>32150</v>
      </c>
      <c r="I655" s="10">
        <v>155</v>
      </c>
      <c r="J655" s="11">
        <f t="shared" si="73"/>
        <v>0.74399999999999999</v>
      </c>
      <c r="K655" s="10">
        <f t="shared" si="74"/>
        <v>345.69892473118279</v>
      </c>
      <c r="L655" s="10">
        <f t="shared" si="75"/>
        <v>257.2</v>
      </c>
      <c r="M655" s="5">
        <f t="shared" si="76"/>
        <v>190.69892473118279</v>
      </c>
      <c r="N655" s="1"/>
    </row>
    <row r="656" spans="1:14" x14ac:dyDescent="0.35">
      <c r="A656" s="6">
        <v>45947</v>
      </c>
      <c r="B656" s="7" t="s">
        <v>56</v>
      </c>
      <c r="C656" s="2" t="str">
        <f t="shared" si="70"/>
        <v>Oct</v>
      </c>
      <c r="D656" s="2" t="str">
        <f t="shared" si="71"/>
        <v>Off-Peak</v>
      </c>
      <c r="E656" s="2" t="str">
        <f t="shared" si="72"/>
        <v>Fri</v>
      </c>
      <c r="F656" s="8">
        <v>97</v>
      </c>
      <c r="G656" s="8">
        <v>125</v>
      </c>
      <c r="H656" s="9">
        <v>16063</v>
      </c>
      <c r="I656" s="10">
        <v>125</v>
      </c>
      <c r="J656" s="11">
        <f t="shared" si="73"/>
        <v>0.77600000000000002</v>
      </c>
      <c r="K656" s="10">
        <f t="shared" si="74"/>
        <v>165.5979381443299</v>
      </c>
      <c r="L656" s="10">
        <f t="shared" si="75"/>
        <v>128.50399999999999</v>
      </c>
      <c r="M656" s="5">
        <f t="shared" si="76"/>
        <v>40.597938144329902</v>
      </c>
      <c r="N656" s="1"/>
    </row>
    <row r="657" spans="1:14" x14ac:dyDescent="0.35">
      <c r="A657" s="6">
        <v>45948</v>
      </c>
      <c r="B657" s="7" t="s">
        <v>56</v>
      </c>
      <c r="C657" s="2" t="str">
        <f t="shared" si="70"/>
        <v>Oct</v>
      </c>
      <c r="D657" s="2" t="str">
        <f t="shared" si="71"/>
        <v>Off-Peak</v>
      </c>
      <c r="E657" s="2" t="str">
        <f t="shared" si="72"/>
        <v>Sat</v>
      </c>
      <c r="F657" s="8">
        <v>106</v>
      </c>
      <c r="G657" s="8">
        <v>125</v>
      </c>
      <c r="H657" s="9">
        <v>32986</v>
      </c>
      <c r="I657" s="10">
        <v>167</v>
      </c>
      <c r="J657" s="11">
        <f t="shared" si="73"/>
        <v>0.84799999999999998</v>
      </c>
      <c r="K657" s="10">
        <f t="shared" si="74"/>
        <v>311.18867924528303</v>
      </c>
      <c r="L657" s="10">
        <f t="shared" si="75"/>
        <v>263.88799999999998</v>
      </c>
      <c r="M657" s="5">
        <f t="shared" si="76"/>
        <v>144.18867924528303</v>
      </c>
      <c r="N657" s="1"/>
    </row>
    <row r="658" spans="1:14" x14ac:dyDescent="0.35">
      <c r="A658" s="6">
        <v>45949</v>
      </c>
      <c r="B658" s="7" t="s">
        <v>56</v>
      </c>
      <c r="C658" s="2" t="str">
        <f t="shared" si="70"/>
        <v>Oct</v>
      </c>
      <c r="D658" s="2" t="str">
        <f t="shared" si="71"/>
        <v>Off-Peak</v>
      </c>
      <c r="E658" s="2" t="str">
        <f t="shared" si="72"/>
        <v>Sun</v>
      </c>
      <c r="F658" s="8">
        <v>96</v>
      </c>
      <c r="G658" s="8">
        <v>125</v>
      </c>
      <c r="H658" s="9">
        <v>22263</v>
      </c>
      <c r="I658" s="10">
        <v>175</v>
      </c>
      <c r="J658" s="11">
        <f t="shared" si="73"/>
        <v>0.76800000000000002</v>
      </c>
      <c r="K658" s="10">
        <f t="shared" si="74"/>
        <v>231.90625</v>
      </c>
      <c r="L658" s="10">
        <f t="shared" si="75"/>
        <v>178.10400000000001</v>
      </c>
      <c r="M658" s="5">
        <f t="shared" si="76"/>
        <v>56.90625</v>
      </c>
      <c r="N658" s="1"/>
    </row>
    <row r="659" spans="1:14" x14ac:dyDescent="0.35">
      <c r="A659" s="6">
        <v>45950</v>
      </c>
      <c r="B659" s="7" t="s">
        <v>56</v>
      </c>
      <c r="C659" s="2" t="str">
        <f t="shared" si="70"/>
        <v>Oct</v>
      </c>
      <c r="D659" s="2" t="str">
        <f t="shared" si="71"/>
        <v>Off-Peak</v>
      </c>
      <c r="E659" s="2" t="str">
        <f t="shared" si="72"/>
        <v>Mon</v>
      </c>
      <c r="F659" s="8">
        <v>97</v>
      </c>
      <c r="G659" s="8">
        <v>125</v>
      </c>
      <c r="H659" s="9">
        <v>27459</v>
      </c>
      <c r="I659" s="10">
        <v>134</v>
      </c>
      <c r="J659" s="11">
        <f t="shared" si="73"/>
        <v>0.77600000000000002</v>
      </c>
      <c r="K659" s="10">
        <f t="shared" si="74"/>
        <v>283.08247422680415</v>
      </c>
      <c r="L659" s="10">
        <f t="shared" si="75"/>
        <v>219.672</v>
      </c>
      <c r="M659" s="5">
        <f t="shared" si="76"/>
        <v>149.08247422680415</v>
      </c>
      <c r="N659" s="1"/>
    </row>
    <row r="660" spans="1:14" x14ac:dyDescent="0.35">
      <c r="A660" s="6">
        <v>45951</v>
      </c>
      <c r="B660" s="7" t="s">
        <v>56</v>
      </c>
      <c r="C660" s="2" t="str">
        <f t="shared" si="70"/>
        <v>Oct</v>
      </c>
      <c r="D660" s="2" t="str">
        <f t="shared" si="71"/>
        <v>Off-Peak</v>
      </c>
      <c r="E660" s="2" t="str">
        <f t="shared" si="72"/>
        <v>Tue</v>
      </c>
      <c r="F660" s="8">
        <v>103</v>
      </c>
      <c r="G660" s="8">
        <v>125</v>
      </c>
      <c r="H660" s="9">
        <v>16256</v>
      </c>
      <c r="I660" s="10">
        <v>129</v>
      </c>
      <c r="J660" s="11">
        <f t="shared" si="73"/>
        <v>0.82399999999999995</v>
      </c>
      <c r="K660" s="10">
        <f t="shared" si="74"/>
        <v>157.82524271844659</v>
      </c>
      <c r="L660" s="10">
        <f t="shared" si="75"/>
        <v>130.048</v>
      </c>
      <c r="M660" s="5">
        <f t="shared" si="76"/>
        <v>28.825242718446589</v>
      </c>
      <c r="N660" s="1"/>
    </row>
    <row r="661" spans="1:14" x14ac:dyDescent="0.35">
      <c r="A661" s="6">
        <v>45952</v>
      </c>
      <c r="B661" s="7" t="s">
        <v>56</v>
      </c>
      <c r="C661" s="2" t="str">
        <f t="shared" si="70"/>
        <v>Oct</v>
      </c>
      <c r="D661" s="2" t="str">
        <f t="shared" si="71"/>
        <v>Off-Peak</v>
      </c>
      <c r="E661" s="2" t="str">
        <f t="shared" si="72"/>
        <v>Wed</v>
      </c>
      <c r="F661" s="8">
        <v>86</v>
      </c>
      <c r="G661" s="8">
        <v>125</v>
      </c>
      <c r="H661" s="9">
        <v>17325</v>
      </c>
      <c r="I661" s="10">
        <v>242</v>
      </c>
      <c r="J661" s="11">
        <f t="shared" si="73"/>
        <v>0.68799999999999994</v>
      </c>
      <c r="K661" s="10">
        <f t="shared" si="74"/>
        <v>201.45348837209303</v>
      </c>
      <c r="L661" s="10">
        <f t="shared" si="75"/>
        <v>138.6</v>
      </c>
      <c r="M661" s="5">
        <f t="shared" si="76"/>
        <v>-40.546511627906966</v>
      </c>
      <c r="N661" s="1"/>
    </row>
    <row r="662" spans="1:14" x14ac:dyDescent="0.35">
      <c r="A662" s="6">
        <v>45953</v>
      </c>
      <c r="B662" s="7" t="s">
        <v>56</v>
      </c>
      <c r="C662" s="2" t="str">
        <f t="shared" si="70"/>
        <v>Oct</v>
      </c>
      <c r="D662" s="2" t="str">
        <f t="shared" si="71"/>
        <v>Off-Peak</v>
      </c>
      <c r="E662" s="2" t="str">
        <f t="shared" si="72"/>
        <v>Thu</v>
      </c>
      <c r="F662" s="8">
        <v>86</v>
      </c>
      <c r="G662" s="8">
        <v>125</v>
      </c>
      <c r="H662" s="9">
        <v>23030</v>
      </c>
      <c r="I662" s="10">
        <v>173</v>
      </c>
      <c r="J662" s="11">
        <f t="shared" si="73"/>
        <v>0.68799999999999994</v>
      </c>
      <c r="K662" s="10">
        <f t="shared" si="74"/>
        <v>267.7906976744186</v>
      </c>
      <c r="L662" s="10">
        <f t="shared" si="75"/>
        <v>184.24</v>
      </c>
      <c r="M662" s="5">
        <f t="shared" si="76"/>
        <v>94.790697674418595</v>
      </c>
      <c r="N662" s="1"/>
    </row>
    <row r="663" spans="1:14" x14ac:dyDescent="0.35">
      <c r="A663" s="6">
        <v>45954</v>
      </c>
      <c r="B663" s="7" t="s">
        <v>56</v>
      </c>
      <c r="C663" s="2" t="str">
        <f t="shared" si="70"/>
        <v>Oct</v>
      </c>
      <c r="D663" s="2" t="str">
        <f t="shared" si="71"/>
        <v>Off-Peak</v>
      </c>
      <c r="E663" s="2" t="str">
        <f t="shared" si="72"/>
        <v>Fri</v>
      </c>
      <c r="F663" s="8">
        <v>103</v>
      </c>
      <c r="G663" s="8">
        <v>125</v>
      </c>
      <c r="H663" s="9">
        <v>29186</v>
      </c>
      <c r="I663" s="10">
        <v>244</v>
      </c>
      <c r="J663" s="11">
        <f t="shared" si="73"/>
        <v>0.82399999999999995</v>
      </c>
      <c r="K663" s="10">
        <f t="shared" si="74"/>
        <v>283.35922330097088</v>
      </c>
      <c r="L663" s="10">
        <f t="shared" si="75"/>
        <v>233.488</v>
      </c>
      <c r="M663" s="5">
        <f t="shared" si="76"/>
        <v>39.359223300970882</v>
      </c>
      <c r="N663" s="1" t="s">
        <v>20</v>
      </c>
    </row>
    <row r="664" spans="1:14" x14ac:dyDescent="0.35">
      <c r="A664" s="6">
        <v>45955</v>
      </c>
      <c r="B664" s="7" t="s">
        <v>56</v>
      </c>
      <c r="C664" s="2" t="str">
        <f t="shared" si="70"/>
        <v>Oct</v>
      </c>
      <c r="D664" s="2" t="str">
        <f t="shared" si="71"/>
        <v>Off-Peak</v>
      </c>
      <c r="E664" s="2" t="str">
        <f t="shared" si="72"/>
        <v>Sat</v>
      </c>
      <c r="F664" s="8">
        <v>89</v>
      </c>
      <c r="G664" s="8">
        <v>125</v>
      </c>
      <c r="H664" s="9">
        <v>29115</v>
      </c>
      <c r="I664" s="10">
        <v>236</v>
      </c>
      <c r="J664" s="11">
        <f t="shared" si="73"/>
        <v>0.71199999999999997</v>
      </c>
      <c r="K664" s="10">
        <f t="shared" si="74"/>
        <v>327.13483146067415</v>
      </c>
      <c r="L664" s="10">
        <f t="shared" si="75"/>
        <v>232.92</v>
      </c>
      <c r="M664" s="5">
        <f t="shared" si="76"/>
        <v>91.13483146067415</v>
      </c>
      <c r="N664" s="1" t="s">
        <v>20</v>
      </c>
    </row>
    <row r="665" spans="1:14" x14ac:dyDescent="0.35">
      <c r="A665" s="6">
        <v>45956</v>
      </c>
      <c r="B665" s="7" t="s">
        <v>56</v>
      </c>
      <c r="C665" s="2" t="str">
        <f t="shared" si="70"/>
        <v>Oct</v>
      </c>
      <c r="D665" s="2" t="str">
        <f t="shared" si="71"/>
        <v>Off-Peak</v>
      </c>
      <c r="E665" s="2" t="str">
        <f t="shared" si="72"/>
        <v>Sun</v>
      </c>
      <c r="F665" s="8">
        <v>101</v>
      </c>
      <c r="G665" s="8">
        <v>125</v>
      </c>
      <c r="H665" s="9">
        <v>16031</v>
      </c>
      <c r="I665" s="10">
        <v>132</v>
      </c>
      <c r="J665" s="11">
        <f t="shared" si="73"/>
        <v>0.80800000000000005</v>
      </c>
      <c r="K665" s="10">
        <f t="shared" si="74"/>
        <v>158.72277227722773</v>
      </c>
      <c r="L665" s="10">
        <f t="shared" si="75"/>
        <v>128.24799999999999</v>
      </c>
      <c r="M665" s="5">
        <f t="shared" si="76"/>
        <v>26.722772277227733</v>
      </c>
      <c r="N665" s="1" t="s">
        <v>20</v>
      </c>
    </row>
    <row r="666" spans="1:14" x14ac:dyDescent="0.35">
      <c r="A666" s="6">
        <v>45957</v>
      </c>
      <c r="B666" s="7" t="s">
        <v>56</v>
      </c>
      <c r="C666" s="2" t="str">
        <f t="shared" si="70"/>
        <v>Oct</v>
      </c>
      <c r="D666" s="2" t="str">
        <f t="shared" si="71"/>
        <v>Off-Peak</v>
      </c>
      <c r="E666" s="2" t="str">
        <f t="shared" si="72"/>
        <v>Mon</v>
      </c>
      <c r="F666" s="8">
        <v>88</v>
      </c>
      <c r="G666" s="8">
        <v>125</v>
      </c>
      <c r="H666" s="9">
        <v>32803</v>
      </c>
      <c r="I666" s="10">
        <v>229</v>
      </c>
      <c r="J666" s="11">
        <f t="shared" si="73"/>
        <v>0.70399999999999996</v>
      </c>
      <c r="K666" s="10">
        <f t="shared" si="74"/>
        <v>372.76136363636363</v>
      </c>
      <c r="L666" s="10">
        <f t="shared" si="75"/>
        <v>262.42399999999998</v>
      </c>
      <c r="M666" s="5">
        <f t="shared" si="76"/>
        <v>143.76136363636363</v>
      </c>
      <c r="N666" s="1" t="s">
        <v>20</v>
      </c>
    </row>
    <row r="667" spans="1:14" x14ac:dyDescent="0.35">
      <c r="A667" s="6">
        <v>45958</v>
      </c>
      <c r="B667" s="7" t="s">
        <v>56</v>
      </c>
      <c r="C667" s="2" t="str">
        <f t="shared" si="70"/>
        <v>Oct</v>
      </c>
      <c r="D667" s="2" t="str">
        <f t="shared" si="71"/>
        <v>Off-Peak</v>
      </c>
      <c r="E667" s="2" t="str">
        <f t="shared" si="72"/>
        <v>Tue</v>
      </c>
      <c r="F667" s="8">
        <v>112</v>
      </c>
      <c r="G667" s="8">
        <v>125</v>
      </c>
      <c r="H667" s="9">
        <v>27422</v>
      </c>
      <c r="I667" s="10">
        <v>243</v>
      </c>
      <c r="J667" s="11">
        <f t="shared" si="73"/>
        <v>0.89600000000000002</v>
      </c>
      <c r="K667" s="10">
        <f t="shared" si="74"/>
        <v>244.83928571428572</v>
      </c>
      <c r="L667" s="10">
        <f t="shared" si="75"/>
        <v>219.376</v>
      </c>
      <c r="M667" s="5">
        <f t="shared" si="76"/>
        <v>1.8392857142857224</v>
      </c>
      <c r="N667" s="1"/>
    </row>
    <row r="668" spans="1:14" x14ac:dyDescent="0.35">
      <c r="A668" s="6">
        <v>45959</v>
      </c>
      <c r="B668" s="7" t="s">
        <v>56</v>
      </c>
      <c r="C668" s="2" t="str">
        <f t="shared" si="70"/>
        <v>Oct</v>
      </c>
      <c r="D668" s="2" t="str">
        <f t="shared" si="71"/>
        <v>Off-Peak</v>
      </c>
      <c r="E668" s="2" t="str">
        <f t="shared" si="72"/>
        <v>Wed</v>
      </c>
      <c r="F668" s="8">
        <v>103</v>
      </c>
      <c r="G668" s="8">
        <v>125</v>
      </c>
      <c r="H668" s="9">
        <v>28024</v>
      </c>
      <c r="I668" s="10">
        <v>156</v>
      </c>
      <c r="J668" s="11">
        <f t="shared" si="73"/>
        <v>0.82399999999999995</v>
      </c>
      <c r="K668" s="10">
        <f t="shared" si="74"/>
        <v>272.07766990291265</v>
      </c>
      <c r="L668" s="10">
        <f t="shared" si="75"/>
        <v>224.19200000000001</v>
      </c>
      <c r="M668" s="5">
        <f t="shared" si="76"/>
        <v>116.07766990291265</v>
      </c>
      <c r="N668" s="1"/>
    </row>
    <row r="669" spans="1:14" x14ac:dyDescent="0.35">
      <c r="A669" s="6">
        <v>45960</v>
      </c>
      <c r="B669" s="7" t="s">
        <v>56</v>
      </c>
      <c r="C669" s="2" t="str">
        <f t="shared" si="70"/>
        <v>Oct</v>
      </c>
      <c r="D669" s="2" t="str">
        <f t="shared" si="71"/>
        <v>Off-Peak</v>
      </c>
      <c r="E669" s="2" t="str">
        <f t="shared" si="72"/>
        <v>Thu</v>
      </c>
      <c r="F669" s="8">
        <v>85</v>
      </c>
      <c r="G669" s="8">
        <v>125</v>
      </c>
      <c r="H669" s="9">
        <v>24293</v>
      </c>
      <c r="I669" s="10">
        <v>139</v>
      </c>
      <c r="J669" s="11">
        <f t="shared" si="73"/>
        <v>0.68</v>
      </c>
      <c r="K669" s="10">
        <f t="shared" si="74"/>
        <v>285.8</v>
      </c>
      <c r="L669" s="10">
        <f t="shared" si="75"/>
        <v>194.34399999999999</v>
      </c>
      <c r="M669" s="5">
        <f t="shared" si="76"/>
        <v>146.80000000000001</v>
      </c>
      <c r="N669" s="1"/>
    </row>
    <row r="670" spans="1:14" x14ac:dyDescent="0.35">
      <c r="A670" s="6">
        <v>45961</v>
      </c>
      <c r="B670" s="7" t="s">
        <v>56</v>
      </c>
      <c r="C670" s="2" t="str">
        <f t="shared" si="70"/>
        <v>Oct</v>
      </c>
      <c r="D670" s="2" t="str">
        <f t="shared" si="71"/>
        <v>Off-Peak</v>
      </c>
      <c r="E670" s="2" t="str">
        <f t="shared" si="72"/>
        <v>Fri</v>
      </c>
      <c r="F670" s="8">
        <v>92</v>
      </c>
      <c r="G670" s="8">
        <v>125</v>
      </c>
      <c r="H670" s="9">
        <v>27693</v>
      </c>
      <c r="I670" s="10">
        <v>142</v>
      </c>
      <c r="J670" s="11">
        <f t="shared" si="73"/>
        <v>0.73599999999999999</v>
      </c>
      <c r="K670" s="10">
        <f t="shared" si="74"/>
        <v>301.01086956521738</v>
      </c>
      <c r="L670" s="10">
        <f t="shared" si="75"/>
        <v>221.54400000000001</v>
      </c>
      <c r="M670" s="5">
        <f t="shared" si="76"/>
        <v>159.01086956521738</v>
      </c>
      <c r="N670" s="1" t="s">
        <v>21</v>
      </c>
    </row>
    <row r="671" spans="1:14" x14ac:dyDescent="0.35">
      <c r="A671" s="6">
        <v>45962</v>
      </c>
      <c r="B671" s="7" t="s">
        <v>56</v>
      </c>
      <c r="C671" s="2" t="str">
        <f t="shared" si="70"/>
        <v>Nov</v>
      </c>
      <c r="D671" s="2" t="str">
        <f t="shared" si="71"/>
        <v>Off-Peak</v>
      </c>
      <c r="E671" s="2" t="str">
        <f t="shared" si="72"/>
        <v>Sat</v>
      </c>
      <c r="F671" s="8">
        <v>101</v>
      </c>
      <c r="G671" s="8">
        <v>125</v>
      </c>
      <c r="H671" s="9">
        <v>20074</v>
      </c>
      <c r="I671" s="10">
        <v>135</v>
      </c>
      <c r="J671" s="11">
        <f t="shared" si="73"/>
        <v>0.80800000000000005</v>
      </c>
      <c r="K671" s="10">
        <f t="shared" si="74"/>
        <v>198.75247524752476</v>
      </c>
      <c r="L671" s="10">
        <f t="shared" si="75"/>
        <v>160.59200000000001</v>
      </c>
      <c r="M671" s="5">
        <f t="shared" si="76"/>
        <v>63.752475247524757</v>
      </c>
      <c r="N671" s="1" t="s">
        <v>21</v>
      </c>
    </row>
    <row r="672" spans="1:14" x14ac:dyDescent="0.35">
      <c r="A672" s="6">
        <v>45963</v>
      </c>
      <c r="B672" s="7" t="s">
        <v>56</v>
      </c>
      <c r="C672" s="2" t="str">
        <f t="shared" si="70"/>
        <v>Nov</v>
      </c>
      <c r="D672" s="2" t="str">
        <f t="shared" si="71"/>
        <v>Off-Peak</v>
      </c>
      <c r="E672" s="2" t="str">
        <f t="shared" si="72"/>
        <v>Sun</v>
      </c>
      <c r="F672" s="8">
        <v>109</v>
      </c>
      <c r="G672" s="8">
        <v>125</v>
      </c>
      <c r="H672" s="9">
        <v>34100</v>
      </c>
      <c r="I672" s="10">
        <v>248</v>
      </c>
      <c r="J672" s="11">
        <f t="shared" si="73"/>
        <v>0.872</v>
      </c>
      <c r="K672" s="10">
        <f t="shared" si="74"/>
        <v>312.8440366972477</v>
      </c>
      <c r="L672" s="10">
        <f t="shared" si="75"/>
        <v>272.8</v>
      </c>
      <c r="M672" s="5">
        <f t="shared" si="76"/>
        <v>64.844036697247702</v>
      </c>
      <c r="N672" s="1" t="s">
        <v>21</v>
      </c>
    </row>
    <row r="673" spans="1:14" x14ac:dyDescent="0.35">
      <c r="A673" s="6">
        <v>45964</v>
      </c>
      <c r="B673" s="7" t="s">
        <v>56</v>
      </c>
      <c r="C673" s="2" t="str">
        <f t="shared" si="70"/>
        <v>Nov</v>
      </c>
      <c r="D673" s="2" t="str">
        <f t="shared" si="71"/>
        <v>Off-Peak</v>
      </c>
      <c r="E673" s="2" t="str">
        <f t="shared" si="72"/>
        <v>Mon</v>
      </c>
      <c r="F673" s="8">
        <v>115</v>
      </c>
      <c r="G673" s="8">
        <v>125</v>
      </c>
      <c r="H673" s="9">
        <v>15572</v>
      </c>
      <c r="I673" s="10">
        <v>201</v>
      </c>
      <c r="J673" s="11">
        <f t="shared" si="73"/>
        <v>0.92</v>
      </c>
      <c r="K673" s="10">
        <f t="shared" si="74"/>
        <v>135.40869565217392</v>
      </c>
      <c r="L673" s="10">
        <f t="shared" si="75"/>
        <v>124.57599999999999</v>
      </c>
      <c r="M673" s="5">
        <f t="shared" si="76"/>
        <v>-65.591304347826082</v>
      </c>
      <c r="N673" s="1"/>
    </row>
    <row r="674" spans="1:14" x14ac:dyDescent="0.35">
      <c r="A674" s="6">
        <v>45965</v>
      </c>
      <c r="B674" s="7" t="s">
        <v>56</v>
      </c>
      <c r="C674" s="2" t="str">
        <f t="shared" si="70"/>
        <v>Nov</v>
      </c>
      <c r="D674" s="2" t="str">
        <f t="shared" si="71"/>
        <v>Off-Peak</v>
      </c>
      <c r="E674" s="2" t="str">
        <f t="shared" si="72"/>
        <v>Tue</v>
      </c>
      <c r="F674" s="8">
        <v>91</v>
      </c>
      <c r="G674" s="8">
        <v>125</v>
      </c>
      <c r="H674" s="9">
        <v>20998</v>
      </c>
      <c r="I674" s="10">
        <v>124</v>
      </c>
      <c r="J674" s="11">
        <f t="shared" si="73"/>
        <v>0.72799999999999998</v>
      </c>
      <c r="K674" s="10">
        <f t="shared" si="74"/>
        <v>230.74725274725276</v>
      </c>
      <c r="L674" s="10">
        <f t="shared" si="75"/>
        <v>167.98400000000001</v>
      </c>
      <c r="M674" s="5">
        <f t="shared" si="76"/>
        <v>106.74725274725276</v>
      </c>
      <c r="N674" s="1"/>
    </row>
    <row r="675" spans="1:14" x14ac:dyDescent="0.35">
      <c r="A675" s="6">
        <v>45966</v>
      </c>
      <c r="B675" s="7" t="s">
        <v>56</v>
      </c>
      <c r="C675" s="2" t="str">
        <f t="shared" si="70"/>
        <v>Nov</v>
      </c>
      <c r="D675" s="2" t="str">
        <f t="shared" si="71"/>
        <v>Off-Peak</v>
      </c>
      <c r="E675" s="2" t="str">
        <f t="shared" si="72"/>
        <v>Wed</v>
      </c>
      <c r="F675" s="8">
        <v>86</v>
      </c>
      <c r="G675" s="8">
        <v>125</v>
      </c>
      <c r="H675" s="9">
        <v>22739</v>
      </c>
      <c r="I675" s="10">
        <v>164</v>
      </c>
      <c r="J675" s="11">
        <f t="shared" si="73"/>
        <v>0.68799999999999994</v>
      </c>
      <c r="K675" s="10">
        <f t="shared" si="74"/>
        <v>264.40697674418607</v>
      </c>
      <c r="L675" s="10">
        <f t="shared" si="75"/>
        <v>181.91200000000001</v>
      </c>
      <c r="M675" s="5">
        <f t="shared" si="76"/>
        <v>100.40697674418607</v>
      </c>
      <c r="N675" s="1"/>
    </row>
    <row r="676" spans="1:14" x14ac:dyDescent="0.35">
      <c r="A676" s="6">
        <v>45967</v>
      </c>
      <c r="B676" s="7" t="s">
        <v>56</v>
      </c>
      <c r="C676" s="2" t="str">
        <f t="shared" si="70"/>
        <v>Nov</v>
      </c>
      <c r="D676" s="2" t="str">
        <f t="shared" si="71"/>
        <v>Off-Peak</v>
      </c>
      <c r="E676" s="2" t="str">
        <f t="shared" si="72"/>
        <v>Thu</v>
      </c>
      <c r="F676" s="8">
        <v>88</v>
      </c>
      <c r="G676" s="8">
        <v>125</v>
      </c>
      <c r="H676" s="9">
        <v>29232</v>
      </c>
      <c r="I676" s="10">
        <v>200</v>
      </c>
      <c r="J676" s="11">
        <f t="shared" si="73"/>
        <v>0.70399999999999996</v>
      </c>
      <c r="K676" s="10">
        <f t="shared" si="74"/>
        <v>332.18181818181819</v>
      </c>
      <c r="L676" s="10">
        <f t="shared" si="75"/>
        <v>233.85599999999999</v>
      </c>
      <c r="M676" s="5">
        <f t="shared" si="76"/>
        <v>132.18181818181819</v>
      </c>
      <c r="N676" s="1"/>
    </row>
    <row r="677" spans="1:14" x14ac:dyDescent="0.35">
      <c r="A677" s="6">
        <v>45968</v>
      </c>
      <c r="B677" s="7" t="s">
        <v>56</v>
      </c>
      <c r="C677" s="2" t="str">
        <f t="shared" si="70"/>
        <v>Nov</v>
      </c>
      <c r="D677" s="2" t="str">
        <f t="shared" si="71"/>
        <v>Off-Peak</v>
      </c>
      <c r="E677" s="2" t="str">
        <f t="shared" si="72"/>
        <v>Fri</v>
      </c>
      <c r="F677" s="8">
        <v>101</v>
      </c>
      <c r="G677" s="8">
        <v>125</v>
      </c>
      <c r="H677" s="9">
        <v>13657</v>
      </c>
      <c r="I677" s="10">
        <v>183</v>
      </c>
      <c r="J677" s="11">
        <f t="shared" si="73"/>
        <v>0.80800000000000005</v>
      </c>
      <c r="K677" s="10">
        <f t="shared" si="74"/>
        <v>135.21782178217822</v>
      </c>
      <c r="L677" s="10">
        <f t="shared" si="75"/>
        <v>109.256</v>
      </c>
      <c r="M677" s="5">
        <f t="shared" si="76"/>
        <v>-47.78217821782178</v>
      </c>
      <c r="N677" s="1"/>
    </row>
    <row r="678" spans="1:14" x14ac:dyDescent="0.35">
      <c r="A678" s="6">
        <v>45969</v>
      </c>
      <c r="B678" s="7" t="s">
        <v>56</v>
      </c>
      <c r="C678" s="2" t="str">
        <f t="shared" si="70"/>
        <v>Nov</v>
      </c>
      <c r="D678" s="2" t="str">
        <f t="shared" si="71"/>
        <v>Off-Peak</v>
      </c>
      <c r="E678" s="2" t="str">
        <f t="shared" si="72"/>
        <v>Sat</v>
      </c>
      <c r="F678" s="8">
        <v>101</v>
      </c>
      <c r="G678" s="8">
        <v>125</v>
      </c>
      <c r="H678" s="9">
        <v>13930</v>
      </c>
      <c r="I678" s="10">
        <v>120</v>
      </c>
      <c r="J678" s="11">
        <f t="shared" si="73"/>
        <v>0.80800000000000005</v>
      </c>
      <c r="K678" s="10">
        <f t="shared" si="74"/>
        <v>137.92079207920793</v>
      </c>
      <c r="L678" s="10">
        <f t="shared" si="75"/>
        <v>111.44</v>
      </c>
      <c r="M678" s="5">
        <f t="shared" si="76"/>
        <v>17.920792079207928</v>
      </c>
      <c r="N678" s="1"/>
    </row>
    <row r="679" spans="1:14" x14ac:dyDescent="0.35">
      <c r="A679" s="6">
        <v>45970</v>
      </c>
      <c r="B679" s="7" t="s">
        <v>56</v>
      </c>
      <c r="C679" s="2" t="str">
        <f t="shared" si="70"/>
        <v>Nov</v>
      </c>
      <c r="D679" s="2" t="str">
        <f t="shared" si="71"/>
        <v>Off-Peak</v>
      </c>
      <c r="E679" s="2" t="str">
        <f t="shared" si="72"/>
        <v>Sun</v>
      </c>
      <c r="F679" s="8">
        <v>116</v>
      </c>
      <c r="G679" s="8">
        <v>125</v>
      </c>
      <c r="H679" s="9">
        <v>34147</v>
      </c>
      <c r="I679" s="10">
        <v>157</v>
      </c>
      <c r="J679" s="11">
        <f t="shared" si="73"/>
        <v>0.92800000000000005</v>
      </c>
      <c r="K679" s="10">
        <f t="shared" si="74"/>
        <v>294.37068965517244</v>
      </c>
      <c r="L679" s="10">
        <f t="shared" si="75"/>
        <v>273.17599999999999</v>
      </c>
      <c r="M679" s="5">
        <f t="shared" si="76"/>
        <v>137.37068965517244</v>
      </c>
      <c r="N679" s="1"/>
    </row>
    <row r="680" spans="1:14" x14ac:dyDescent="0.35">
      <c r="A680" s="6">
        <v>45971</v>
      </c>
      <c r="B680" s="7" t="s">
        <v>56</v>
      </c>
      <c r="C680" s="2" t="str">
        <f t="shared" si="70"/>
        <v>Nov</v>
      </c>
      <c r="D680" s="2" t="str">
        <f t="shared" si="71"/>
        <v>Off-Peak</v>
      </c>
      <c r="E680" s="2" t="str">
        <f t="shared" si="72"/>
        <v>Mon</v>
      </c>
      <c r="F680" s="8">
        <v>110</v>
      </c>
      <c r="G680" s="8">
        <v>125</v>
      </c>
      <c r="H680" s="9">
        <v>23741</v>
      </c>
      <c r="I680" s="10">
        <v>174</v>
      </c>
      <c r="J680" s="11">
        <f t="shared" si="73"/>
        <v>0.88</v>
      </c>
      <c r="K680" s="10">
        <f t="shared" si="74"/>
        <v>215.82727272727271</v>
      </c>
      <c r="L680" s="10">
        <f t="shared" si="75"/>
        <v>189.928</v>
      </c>
      <c r="M680" s="5">
        <f t="shared" si="76"/>
        <v>41.827272727272714</v>
      </c>
      <c r="N680" s="1"/>
    </row>
    <row r="681" spans="1:14" x14ac:dyDescent="0.35">
      <c r="A681" s="6">
        <v>45972</v>
      </c>
      <c r="B681" s="7" t="s">
        <v>56</v>
      </c>
      <c r="C681" s="2" t="str">
        <f t="shared" si="70"/>
        <v>Nov</v>
      </c>
      <c r="D681" s="2" t="str">
        <f t="shared" si="71"/>
        <v>Off-Peak</v>
      </c>
      <c r="E681" s="2" t="str">
        <f t="shared" si="72"/>
        <v>Tue</v>
      </c>
      <c r="F681" s="8">
        <v>96</v>
      </c>
      <c r="G681" s="8">
        <v>125</v>
      </c>
      <c r="H681" s="9">
        <v>34807</v>
      </c>
      <c r="I681" s="10">
        <v>212</v>
      </c>
      <c r="J681" s="11">
        <f t="shared" si="73"/>
        <v>0.76800000000000002</v>
      </c>
      <c r="K681" s="10">
        <f t="shared" si="74"/>
        <v>362.57291666666669</v>
      </c>
      <c r="L681" s="10">
        <f t="shared" si="75"/>
        <v>278.45600000000002</v>
      </c>
      <c r="M681" s="5">
        <f t="shared" si="76"/>
        <v>150.57291666666669</v>
      </c>
      <c r="N681" s="1"/>
    </row>
    <row r="682" spans="1:14" x14ac:dyDescent="0.35">
      <c r="A682" s="6">
        <v>45973</v>
      </c>
      <c r="B682" s="7" t="s">
        <v>56</v>
      </c>
      <c r="C682" s="2" t="str">
        <f t="shared" si="70"/>
        <v>Nov</v>
      </c>
      <c r="D682" s="2" t="str">
        <f t="shared" si="71"/>
        <v>Off-Peak</v>
      </c>
      <c r="E682" s="2" t="str">
        <f t="shared" si="72"/>
        <v>Wed</v>
      </c>
      <c r="F682" s="8">
        <v>104</v>
      </c>
      <c r="G682" s="8">
        <v>125</v>
      </c>
      <c r="H682" s="9">
        <v>11319</v>
      </c>
      <c r="I682" s="10">
        <v>234</v>
      </c>
      <c r="J682" s="11">
        <f t="shared" si="73"/>
        <v>0.83199999999999996</v>
      </c>
      <c r="K682" s="10">
        <f t="shared" si="74"/>
        <v>108.83653846153847</v>
      </c>
      <c r="L682" s="10">
        <f t="shared" si="75"/>
        <v>90.552000000000007</v>
      </c>
      <c r="M682" s="5">
        <f t="shared" si="76"/>
        <v>-125.16346153846153</v>
      </c>
      <c r="N682" s="1" t="s">
        <v>19</v>
      </c>
    </row>
    <row r="683" spans="1:14" x14ac:dyDescent="0.35">
      <c r="A683" s="6">
        <v>45974</v>
      </c>
      <c r="B683" s="7" t="s">
        <v>56</v>
      </c>
      <c r="C683" s="2" t="str">
        <f t="shared" si="70"/>
        <v>Nov</v>
      </c>
      <c r="D683" s="2" t="str">
        <f t="shared" si="71"/>
        <v>Off-Peak</v>
      </c>
      <c r="E683" s="2" t="str">
        <f t="shared" si="72"/>
        <v>Thu</v>
      </c>
      <c r="F683" s="8">
        <v>114</v>
      </c>
      <c r="G683" s="8">
        <v>125</v>
      </c>
      <c r="H683" s="9">
        <v>24215</v>
      </c>
      <c r="I683" s="10">
        <v>184</v>
      </c>
      <c r="J683" s="11">
        <f t="shared" si="73"/>
        <v>0.91200000000000003</v>
      </c>
      <c r="K683" s="10">
        <f t="shared" si="74"/>
        <v>212.41228070175438</v>
      </c>
      <c r="L683" s="10">
        <f t="shared" si="75"/>
        <v>193.72</v>
      </c>
      <c r="M683" s="5">
        <f t="shared" si="76"/>
        <v>28.412280701754383</v>
      </c>
      <c r="N683" s="1" t="s">
        <v>19</v>
      </c>
    </row>
    <row r="684" spans="1:14" x14ac:dyDescent="0.35">
      <c r="A684" s="6">
        <v>45975</v>
      </c>
      <c r="B684" s="7" t="s">
        <v>56</v>
      </c>
      <c r="C684" s="2" t="str">
        <f t="shared" si="70"/>
        <v>Nov</v>
      </c>
      <c r="D684" s="2" t="str">
        <f t="shared" si="71"/>
        <v>Off-Peak</v>
      </c>
      <c r="E684" s="2" t="str">
        <f t="shared" si="72"/>
        <v>Fri</v>
      </c>
      <c r="F684" s="8">
        <v>93</v>
      </c>
      <c r="G684" s="8">
        <v>125</v>
      </c>
      <c r="H684" s="9">
        <v>26774</v>
      </c>
      <c r="I684" s="10">
        <v>173</v>
      </c>
      <c r="J684" s="11">
        <f t="shared" si="73"/>
        <v>0.74399999999999999</v>
      </c>
      <c r="K684" s="10">
        <f t="shared" si="74"/>
        <v>287.89247311827955</v>
      </c>
      <c r="L684" s="10">
        <f t="shared" si="75"/>
        <v>214.19200000000001</v>
      </c>
      <c r="M684" s="5">
        <f t="shared" si="76"/>
        <v>114.89247311827955</v>
      </c>
      <c r="N684" s="1"/>
    </row>
    <row r="685" spans="1:14" x14ac:dyDescent="0.35">
      <c r="A685" s="6">
        <v>45976</v>
      </c>
      <c r="B685" s="7" t="s">
        <v>56</v>
      </c>
      <c r="C685" s="2" t="str">
        <f t="shared" si="70"/>
        <v>Nov</v>
      </c>
      <c r="D685" s="2" t="str">
        <f t="shared" si="71"/>
        <v>Off-Peak</v>
      </c>
      <c r="E685" s="2" t="str">
        <f t="shared" si="72"/>
        <v>Sat</v>
      </c>
      <c r="F685" s="8">
        <v>104</v>
      </c>
      <c r="G685" s="8">
        <v>125</v>
      </c>
      <c r="H685" s="9">
        <v>32903</v>
      </c>
      <c r="I685" s="10">
        <v>201</v>
      </c>
      <c r="J685" s="11">
        <f t="shared" si="73"/>
        <v>0.83199999999999996</v>
      </c>
      <c r="K685" s="10">
        <f t="shared" si="74"/>
        <v>316.375</v>
      </c>
      <c r="L685" s="10">
        <f t="shared" si="75"/>
        <v>263.22399999999999</v>
      </c>
      <c r="M685" s="5">
        <f t="shared" si="76"/>
        <v>115.375</v>
      </c>
      <c r="N685" s="1"/>
    </row>
    <row r="686" spans="1:14" x14ac:dyDescent="0.35">
      <c r="A686" s="6">
        <v>45977</v>
      </c>
      <c r="B686" s="7" t="s">
        <v>56</v>
      </c>
      <c r="C686" s="2" t="str">
        <f t="shared" si="70"/>
        <v>Nov</v>
      </c>
      <c r="D686" s="2" t="str">
        <f t="shared" si="71"/>
        <v>Off-Peak</v>
      </c>
      <c r="E686" s="2" t="str">
        <f t="shared" si="72"/>
        <v>Sun</v>
      </c>
      <c r="F686" s="8">
        <v>112</v>
      </c>
      <c r="G686" s="8">
        <v>125</v>
      </c>
      <c r="H686" s="9">
        <v>12287</v>
      </c>
      <c r="I686" s="10">
        <v>122</v>
      </c>
      <c r="J686" s="11">
        <f t="shared" si="73"/>
        <v>0.89600000000000002</v>
      </c>
      <c r="K686" s="10">
        <f t="shared" si="74"/>
        <v>109.70535714285714</v>
      </c>
      <c r="L686" s="10">
        <f t="shared" si="75"/>
        <v>98.296000000000006</v>
      </c>
      <c r="M686" s="5">
        <f t="shared" si="76"/>
        <v>-12.294642857142861</v>
      </c>
      <c r="N686" s="1"/>
    </row>
    <row r="687" spans="1:14" x14ac:dyDescent="0.35">
      <c r="A687" s="6">
        <v>45978</v>
      </c>
      <c r="B687" s="7" t="s">
        <v>56</v>
      </c>
      <c r="C687" s="2" t="str">
        <f t="shared" si="70"/>
        <v>Nov</v>
      </c>
      <c r="D687" s="2" t="str">
        <f t="shared" si="71"/>
        <v>Off-Peak</v>
      </c>
      <c r="E687" s="2" t="str">
        <f t="shared" si="72"/>
        <v>Mon</v>
      </c>
      <c r="F687" s="8">
        <v>96</v>
      </c>
      <c r="G687" s="8">
        <v>125</v>
      </c>
      <c r="H687" s="9">
        <v>28640</v>
      </c>
      <c r="I687" s="10">
        <v>196</v>
      </c>
      <c r="J687" s="11">
        <f t="shared" si="73"/>
        <v>0.76800000000000002</v>
      </c>
      <c r="K687" s="10">
        <f t="shared" si="74"/>
        <v>298.33333333333331</v>
      </c>
      <c r="L687" s="10">
        <f t="shared" si="75"/>
        <v>229.12</v>
      </c>
      <c r="M687" s="5">
        <f t="shared" si="76"/>
        <v>102.33333333333331</v>
      </c>
      <c r="N687" s="1"/>
    </row>
    <row r="688" spans="1:14" x14ac:dyDescent="0.35">
      <c r="A688" s="6">
        <v>45979</v>
      </c>
      <c r="B688" s="7" t="s">
        <v>56</v>
      </c>
      <c r="C688" s="2" t="str">
        <f t="shared" si="70"/>
        <v>Nov</v>
      </c>
      <c r="D688" s="2" t="str">
        <f t="shared" si="71"/>
        <v>Off-Peak</v>
      </c>
      <c r="E688" s="2" t="str">
        <f t="shared" si="72"/>
        <v>Tue</v>
      </c>
      <c r="F688" s="8">
        <v>117</v>
      </c>
      <c r="G688" s="8">
        <v>125</v>
      </c>
      <c r="H688" s="9">
        <v>14344</v>
      </c>
      <c r="I688" s="10">
        <v>250</v>
      </c>
      <c r="J688" s="11">
        <f t="shared" si="73"/>
        <v>0.93600000000000005</v>
      </c>
      <c r="K688" s="10">
        <f t="shared" si="74"/>
        <v>122.5982905982906</v>
      </c>
      <c r="L688" s="10">
        <f t="shared" si="75"/>
        <v>114.752</v>
      </c>
      <c r="M688" s="5">
        <f t="shared" si="76"/>
        <v>-127.4017094017094</v>
      </c>
      <c r="N688" s="1"/>
    </row>
    <row r="689" spans="1:14" x14ac:dyDescent="0.35">
      <c r="A689" s="6">
        <v>45980</v>
      </c>
      <c r="B689" s="7" t="s">
        <v>56</v>
      </c>
      <c r="C689" s="2" t="str">
        <f t="shared" si="70"/>
        <v>Nov</v>
      </c>
      <c r="D689" s="2" t="str">
        <f t="shared" si="71"/>
        <v>Off-Peak</v>
      </c>
      <c r="E689" s="2" t="str">
        <f t="shared" si="72"/>
        <v>Wed</v>
      </c>
      <c r="F689" s="8">
        <v>111</v>
      </c>
      <c r="G689" s="8">
        <v>125</v>
      </c>
      <c r="H689" s="9">
        <v>17441</v>
      </c>
      <c r="I689" s="10">
        <v>145</v>
      </c>
      <c r="J689" s="11">
        <f t="shared" si="73"/>
        <v>0.88800000000000001</v>
      </c>
      <c r="K689" s="10">
        <f t="shared" si="74"/>
        <v>157.12612612612614</v>
      </c>
      <c r="L689" s="10">
        <f t="shared" si="75"/>
        <v>139.52799999999999</v>
      </c>
      <c r="M689" s="5">
        <f t="shared" si="76"/>
        <v>12.126126126126138</v>
      </c>
      <c r="N689" s="1"/>
    </row>
    <row r="690" spans="1:14" x14ac:dyDescent="0.35">
      <c r="A690" s="6">
        <v>45981</v>
      </c>
      <c r="B690" s="7" t="s">
        <v>56</v>
      </c>
      <c r="C690" s="2" t="str">
        <f t="shared" si="70"/>
        <v>Nov</v>
      </c>
      <c r="D690" s="2" t="str">
        <f t="shared" si="71"/>
        <v>Off-Peak</v>
      </c>
      <c r="E690" s="2" t="str">
        <f t="shared" si="72"/>
        <v>Thu</v>
      </c>
      <c r="F690" s="8">
        <v>85</v>
      </c>
      <c r="G690" s="8">
        <v>125</v>
      </c>
      <c r="H690" s="9">
        <v>19979</v>
      </c>
      <c r="I690" s="10">
        <v>135</v>
      </c>
      <c r="J690" s="11">
        <f t="shared" si="73"/>
        <v>0.68</v>
      </c>
      <c r="K690" s="10">
        <f t="shared" si="74"/>
        <v>235.04705882352943</v>
      </c>
      <c r="L690" s="10">
        <f t="shared" si="75"/>
        <v>159.83199999999999</v>
      </c>
      <c r="M690" s="5">
        <f t="shared" si="76"/>
        <v>100.04705882352943</v>
      </c>
      <c r="N690" s="1"/>
    </row>
    <row r="691" spans="1:14" x14ac:dyDescent="0.35">
      <c r="A691" s="6">
        <v>45982</v>
      </c>
      <c r="B691" s="7" t="s">
        <v>56</v>
      </c>
      <c r="C691" s="2" t="str">
        <f t="shared" si="70"/>
        <v>Nov</v>
      </c>
      <c r="D691" s="2" t="str">
        <f t="shared" si="71"/>
        <v>Off-Peak</v>
      </c>
      <c r="E691" s="2" t="str">
        <f t="shared" si="72"/>
        <v>Fri</v>
      </c>
      <c r="F691" s="8">
        <v>115</v>
      </c>
      <c r="G691" s="8">
        <v>125</v>
      </c>
      <c r="H691" s="9">
        <v>17274</v>
      </c>
      <c r="I691" s="10">
        <v>193</v>
      </c>
      <c r="J691" s="11">
        <f t="shared" si="73"/>
        <v>0.92</v>
      </c>
      <c r="K691" s="10">
        <f t="shared" si="74"/>
        <v>150.2086956521739</v>
      </c>
      <c r="L691" s="10">
        <f t="shared" si="75"/>
        <v>138.19200000000001</v>
      </c>
      <c r="M691" s="5">
        <f t="shared" si="76"/>
        <v>-42.791304347826099</v>
      </c>
      <c r="N691" s="1"/>
    </row>
    <row r="692" spans="1:14" x14ac:dyDescent="0.35">
      <c r="A692" s="6">
        <v>45983</v>
      </c>
      <c r="B692" s="7" t="s">
        <v>56</v>
      </c>
      <c r="C692" s="2" t="str">
        <f t="shared" si="70"/>
        <v>Nov</v>
      </c>
      <c r="D692" s="2" t="str">
        <f t="shared" si="71"/>
        <v>Off-Peak</v>
      </c>
      <c r="E692" s="2" t="str">
        <f t="shared" si="72"/>
        <v>Sat</v>
      </c>
      <c r="F692" s="8">
        <v>115</v>
      </c>
      <c r="G692" s="8">
        <v>125</v>
      </c>
      <c r="H692" s="9">
        <v>15182</v>
      </c>
      <c r="I692" s="10">
        <v>234</v>
      </c>
      <c r="J692" s="11">
        <f t="shared" si="73"/>
        <v>0.92</v>
      </c>
      <c r="K692" s="10">
        <f t="shared" si="74"/>
        <v>132.01739130434783</v>
      </c>
      <c r="L692" s="10">
        <f t="shared" si="75"/>
        <v>121.456</v>
      </c>
      <c r="M692" s="5">
        <f t="shared" si="76"/>
        <v>-101.98260869565217</v>
      </c>
      <c r="N692" s="1"/>
    </row>
    <row r="693" spans="1:14" x14ac:dyDescent="0.35">
      <c r="A693" s="6">
        <v>45984</v>
      </c>
      <c r="B693" s="7" t="s">
        <v>56</v>
      </c>
      <c r="C693" s="2" t="str">
        <f t="shared" si="70"/>
        <v>Nov</v>
      </c>
      <c r="D693" s="2" t="str">
        <f t="shared" si="71"/>
        <v>Off-Peak</v>
      </c>
      <c r="E693" s="2" t="str">
        <f t="shared" si="72"/>
        <v>Sun</v>
      </c>
      <c r="F693" s="8">
        <v>115</v>
      </c>
      <c r="G693" s="8">
        <v>125</v>
      </c>
      <c r="H693" s="9">
        <v>24180</v>
      </c>
      <c r="I693" s="10">
        <v>215</v>
      </c>
      <c r="J693" s="11">
        <f t="shared" si="73"/>
        <v>0.92</v>
      </c>
      <c r="K693" s="10">
        <f t="shared" si="74"/>
        <v>210.2608695652174</v>
      </c>
      <c r="L693" s="10">
        <f t="shared" si="75"/>
        <v>193.44</v>
      </c>
      <c r="M693" s="5">
        <f t="shared" si="76"/>
        <v>-4.7391304347825951</v>
      </c>
      <c r="N693" s="1"/>
    </row>
    <row r="694" spans="1:14" x14ac:dyDescent="0.35">
      <c r="A694" s="6">
        <v>45985</v>
      </c>
      <c r="B694" s="7" t="s">
        <v>56</v>
      </c>
      <c r="C694" s="2" t="str">
        <f t="shared" si="70"/>
        <v>Nov</v>
      </c>
      <c r="D694" s="2" t="str">
        <f t="shared" si="71"/>
        <v>Off-Peak</v>
      </c>
      <c r="E694" s="2" t="str">
        <f t="shared" si="72"/>
        <v>Mon</v>
      </c>
      <c r="F694" s="8">
        <v>91</v>
      </c>
      <c r="G694" s="8">
        <v>125</v>
      </c>
      <c r="H694" s="9">
        <v>29204</v>
      </c>
      <c r="I694" s="10">
        <v>208</v>
      </c>
      <c r="J694" s="11">
        <f t="shared" si="73"/>
        <v>0.72799999999999998</v>
      </c>
      <c r="K694" s="10">
        <f t="shared" si="74"/>
        <v>320.92307692307691</v>
      </c>
      <c r="L694" s="10">
        <f t="shared" si="75"/>
        <v>233.63200000000001</v>
      </c>
      <c r="M694" s="5">
        <f t="shared" si="76"/>
        <v>112.92307692307691</v>
      </c>
      <c r="N694" s="1"/>
    </row>
    <row r="695" spans="1:14" x14ac:dyDescent="0.35">
      <c r="A695" s="6">
        <v>45986</v>
      </c>
      <c r="B695" s="7" t="s">
        <v>56</v>
      </c>
      <c r="C695" s="2" t="str">
        <f t="shared" si="70"/>
        <v>Nov</v>
      </c>
      <c r="D695" s="2" t="str">
        <f t="shared" si="71"/>
        <v>Off-Peak</v>
      </c>
      <c r="E695" s="2" t="str">
        <f t="shared" si="72"/>
        <v>Tue</v>
      </c>
      <c r="F695" s="8">
        <v>116</v>
      </c>
      <c r="G695" s="8">
        <v>125</v>
      </c>
      <c r="H695" s="9">
        <v>12646</v>
      </c>
      <c r="I695" s="10">
        <v>230</v>
      </c>
      <c r="J695" s="11">
        <f t="shared" si="73"/>
        <v>0.92800000000000005</v>
      </c>
      <c r="K695" s="10">
        <f t="shared" si="74"/>
        <v>109.01724137931035</v>
      </c>
      <c r="L695" s="10">
        <f t="shared" si="75"/>
        <v>101.16800000000001</v>
      </c>
      <c r="M695" s="5">
        <f t="shared" si="76"/>
        <v>-120.98275862068965</v>
      </c>
      <c r="N695" s="1"/>
    </row>
    <row r="696" spans="1:14" x14ac:dyDescent="0.35">
      <c r="A696" s="6">
        <v>45987</v>
      </c>
      <c r="B696" s="7" t="s">
        <v>56</v>
      </c>
      <c r="C696" s="2" t="str">
        <f t="shared" si="70"/>
        <v>Nov</v>
      </c>
      <c r="D696" s="2" t="str">
        <f t="shared" si="71"/>
        <v>Off-Peak</v>
      </c>
      <c r="E696" s="2" t="str">
        <f t="shared" si="72"/>
        <v>Wed</v>
      </c>
      <c r="F696" s="8">
        <v>99</v>
      </c>
      <c r="G696" s="8">
        <v>125</v>
      </c>
      <c r="H696" s="9">
        <v>11400</v>
      </c>
      <c r="I696" s="10">
        <v>152</v>
      </c>
      <c r="J696" s="11">
        <f t="shared" si="73"/>
        <v>0.79200000000000004</v>
      </c>
      <c r="K696" s="10">
        <f t="shared" si="74"/>
        <v>115.15151515151516</v>
      </c>
      <c r="L696" s="10">
        <f t="shared" si="75"/>
        <v>91.2</v>
      </c>
      <c r="M696" s="5">
        <f t="shared" si="76"/>
        <v>-36.848484848484844</v>
      </c>
      <c r="N696" s="1"/>
    </row>
    <row r="697" spans="1:14" x14ac:dyDescent="0.35">
      <c r="A697" s="6">
        <v>45988</v>
      </c>
      <c r="B697" s="7" t="s">
        <v>56</v>
      </c>
      <c r="C697" s="2" t="str">
        <f t="shared" si="70"/>
        <v>Nov</v>
      </c>
      <c r="D697" s="2" t="str">
        <f t="shared" si="71"/>
        <v>Off-Peak</v>
      </c>
      <c r="E697" s="2" t="str">
        <f t="shared" si="72"/>
        <v>Thu</v>
      </c>
      <c r="F697" s="8">
        <v>103</v>
      </c>
      <c r="G697" s="8">
        <v>125</v>
      </c>
      <c r="H697" s="9">
        <v>20558</v>
      </c>
      <c r="I697" s="10">
        <v>135</v>
      </c>
      <c r="J697" s="11">
        <f t="shared" si="73"/>
        <v>0.82399999999999995</v>
      </c>
      <c r="K697" s="10">
        <f t="shared" si="74"/>
        <v>199.59223300970874</v>
      </c>
      <c r="L697" s="10">
        <f t="shared" si="75"/>
        <v>164.464</v>
      </c>
      <c r="M697" s="5">
        <f t="shared" si="76"/>
        <v>64.592233009708735</v>
      </c>
      <c r="N697" s="1"/>
    </row>
    <row r="698" spans="1:14" x14ac:dyDescent="0.35">
      <c r="A698" s="6">
        <v>45989</v>
      </c>
      <c r="B698" s="7" t="s">
        <v>56</v>
      </c>
      <c r="C698" s="2" t="str">
        <f t="shared" si="70"/>
        <v>Nov</v>
      </c>
      <c r="D698" s="2" t="str">
        <f t="shared" si="71"/>
        <v>Off-Peak</v>
      </c>
      <c r="E698" s="2" t="str">
        <f t="shared" si="72"/>
        <v>Fri</v>
      </c>
      <c r="F698" s="8">
        <v>113</v>
      </c>
      <c r="G698" s="8">
        <v>125</v>
      </c>
      <c r="H698" s="9">
        <v>26942</v>
      </c>
      <c r="I698" s="10">
        <v>145</v>
      </c>
      <c r="J698" s="11">
        <f t="shared" si="73"/>
        <v>0.90400000000000003</v>
      </c>
      <c r="K698" s="10">
        <f t="shared" si="74"/>
        <v>238.42477876106196</v>
      </c>
      <c r="L698" s="10">
        <f t="shared" si="75"/>
        <v>215.536</v>
      </c>
      <c r="M698" s="5">
        <f t="shared" si="76"/>
        <v>93.424778761061958</v>
      </c>
      <c r="N698" s="1"/>
    </row>
    <row r="699" spans="1:14" x14ac:dyDescent="0.35">
      <c r="A699" s="6">
        <v>45990</v>
      </c>
      <c r="B699" s="7" t="s">
        <v>56</v>
      </c>
      <c r="C699" s="2" t="str">
        <f t="shared" si="70"/>
        <v>Nov</v>
      </c>
      <c r="D699" s="2" t="str">
        <f t="shared" si="71"/>
        <v>Off-Peak</v>
      </c>
      <c r="E699" s="2" t="str">
        <f t="shared" si="72"/>
        <v>Sat</v>
      </c>
      <c r="F699" s="8">
        <v>110</v>
      </c>
      <c r="G699" s="8">
        <v>125</v>
      </c>
      <c r="H699" s="9">
        <v>24494</v>
      </c>
      <c r="I699" s="10">
        <v>169</v>
      </c>
      <c r="J699" s="11">
        <f t="shared" si="73"/>
        <v>0.88</v>
      </c>
      <c r="K699" s="10">
        <f t="shared" si="74"/>
        <v>222.67272727272729</v>
      </c>
      <c r="L699" s="10">
        <f t="shared" si="75"/>
        <v>195.952</v>
      </c>
      <c r="M699" s="5">
        <f t="shared" si="76"/>
        <v>53.672727272727286</v>
      </c>
      <c r="N699" s="1"/>
    </row>
    <row r="700" spans="1:14" x14ac:dyDescent="0.35">
      <c r="A700" s="6">
        <v>45991</v>
      </c>
      <c r="B700" s="7" t="s">
        <v>56</v>
      </c>
      <c r="C700" s="2" t="str">
        <f t="shared" si="70"/>
        <v>Nov</v>
      </c>
      <c r="D700" s="2" t="str">
        <f t="shared" si="71"/>
        <v>Off-Peak</v>
      </c>
      <c r="E700" s="2" t="str">
        <f t="shared" si="72"/>
        <v>Sun</v>
      </c>
      <c r="F700" s="8">
        <v>106</v>
      </c>
      <c r="G700" s="8">
        <v>125</v>
      </c>
      <c r="H700" s="9">
        <v>30810</v>
      </c>
      <c r="I700" s="10">
        <v>193</v>
      </c>
      <c r="J700" s="11">
        <f t="shared" si="73"/>
        <v>0.84799999999999998</v>
      </c>
      <c r="K700" s="10">
        <f t="shared" si="74"/>
        <v>290.66037735849056</v>
      </c>
      <c r="L700" s="10">
        <f t="shared" si="75"/>
        <v>246.48</v>
      </c>
      <c r="M700" s="5">
        <f t="shared" si="76"/>
        <v>97.660377358490564</v>
      </c>
      <c r="N700" s="1"/>
    </row>
    <row r="701" spans="1:14" x14ac:dyDescent="0.35">
      <c r="A701" s="6">
        <v>45992</v>
      </c>
      <c r="B701" s="7" t="s">
        <v>56</v>
      </c>
      <c r="C701" s="2" t="str">
        <f t="shared" si="70"/>
        <v>Dec</v>
      </c>
      <c r="D701" s="2" t="str">
        <f t="shared" si="71"/>
        <v>Off-Peak</v>
      </c>
      <c r="E701" s="2" t="str">
        <f t="shared" si="72"/>
        <v>Mon</v>
      </c>
      <c r="F701" s="8">
        <v>110</v>
      </c>
      <c r="G701" s="8">
        <v>125</v>
      </c>
      <c r="H701" s="9">
        <v>12882</v>
      </c>
      <c r="I701" s="10">
        <v>202</v>
      </c>
      <c r="J701" s="11">
        <f t="shared" si="73"/>
        <v>0.88</v>
      </c>
      <c r="K701" s="10">
        <f t="shared" si="74"/>
        <v>117.10909090909091</v>
      </c>
      <c r="L701" s="10">
        <f t="shared" si="75"/>
        <v>103.056</v>
      </c>
      <c r="M701" s="5">
        <f t="shared" si="76"/>
        <v>-84.890909090909091</v>
      </c>
      <c r="N701" s="1"/>
    </row>
    <row r="702" spans="1:14" x14ac:dyDescent="0.35">
      <c r="A702" s="6">
        <v>45993</v>
      </c>
      <c r="B702" s="7" t="s">
        <v>56</v>
      </c>
      <c r="C702" s="2" t="str">
        <f t="shared" si="70"/>
        <v>Dec</v>
      </c>
      <c r="D702" s="2" t="str">
        <f t="shared" si="71"/>
        <v>Off-Peak</v>
      </c>
      <c r="E702" s="2" t="str">
        <f t="shared" si="72"/>
        <v>Tue</v>
      </c>
      <c r="F702" s="8">
        <v>88</v>
      </c>
      <c r="G702" s="8">
        <v>125</v>
      </c>
      <c r="H702" s="9">
        <v>25183</v>
      </c>
      <c r="I702" s="10">
        <v>190</v>
      </c>
      <c r="J702" s="11">
        <f t="shared" si="73"/>
        <v>0.70399999999999996</v>
      </c>
      <c r="K702" s="10">
        <f t="shared" si="74"/>
        <v>286.17045454545456</v>
      </c>
      <c r="L702" s="10">
        <f t="shared" si="75"/>
        <v>201.464</v>
      </c>
      <c r="M702" s="5">
        <f t="shared" si="76"/>
        <v>96.170454545454561</v>
      </c>
      <c r="N702" s="1"/>
    </row>
    <row r="703" spans="1:14" x14ac:dyDescent="0.35">
      <c r="A703" s="6">
        <v>45994</v>
      </c>
      <c r="B703" s="7" t="s">
        <v>56</v>
      </c>
      <c r="C703" s="2" t="str">
        <f t="shared" si="70"/>
        <v>Dec</v>
      </c>
      <c r="D703" s="2" t="str">
        <f t="shared" si="71"/>
        <v>Off-Peak</v>
      </c>
      <c r="E703" s="2" t="str">
        <f t="shared" si="72"/>
        <v>Wed</v>
      </c>
      <c r="F703" s="8">
        <v>114</v>
      </c>
      <c r="G703" s="8">
        <v>125</v>
      </c>
      <c r="H703" s="9">
        <v>23813</v>
      </c>
      <c r="I703" s="10">
        <v>126</v>
      </c>
      <c r="J703" s="11">
        <f t="shared" si="73"/>
        <v>0.91200000000000003</v>
      </c>
      <c r="K703" s="10">
        <f t="shared" si="74"/>
        <v>208.88596491228071</v>
      </c>
      <c r="L703" s="10">
        <f t="shared" si="75"/>
        <v>190.50399999999999</v>
      </c>
      <c r="M703" s="5">
        <f t="shared" si="76"/>
        <v>82.885964912280713</v>
      </c>
      <c r="N703" s="1"/>
    </row>
    <row r="704" spans="1:14" x14ac:dyDescent="0.35">
      <c r="A704" s="6">
        <v>45995</v>
      </c>
      <c r="B704" s="7" t="s">
        <v>56</v>
      </c>
      <c r="C704" s="2" t="str">
        <f t="shared" si="70"/>
        <v>Dec</v>
      </c>
      <c r="D704" s="2" t="str">
        <f t="shared" si="71"/>
        <v>Off-Peak</v>
      </c>
      <c r="E704" s="2" t="str">
        <f t="shared" si="72"/>
        <v>Thu</v>
      </c>
      <c r="F704" s="8">
        <v>85</v>
      </c>
      <c r="G704" s="8">
        <v>125</v>
      </c>
      <c r="H704" s="9">
        <v>13760</v>
      </c>
      <c r="I704" s="10">
        <v>234</v>
      </c>
      <c r="J704" s="11">
        <f t="shared" si="73"/>
        <v>0.68</v>
      </c>
      <c r="K704" s="10">
        <f t="shared" si="74"/>
        <v>161.88235294117646</v>
      </c>
      <c r="L704" s="10">
        <f t="shared" si="75"/>
        <v>110.08</v>
      </c>
      <c r="M704" s="5">
        <f t="shared" si="76"/>
        <v>-72.117647058823536</v>
      </c>
      <c r="N704" s="1"/>
    </row>
    <row r="705" spans="1:14" x14ac:dyDescent="0.35">
      <c r="A705" s="6">
        <v>45996</v>
      </c>
      <c r="B705" s="7" t="s">
        <v>56</v>
      </c>
      <c r="C705" s="2" t="str">
        <f t="shared" si="70"/>
        <v>Dec</v>
      </c>
      <c r="D705" s="2" t="str">
        <f t="shared" si="71"/>
        <v>Off-Peak</v>
      </c>
      <c r="E705" s="2" t="str">
        <f t="shared" si="72"/>
        <v>Fri</v>
      </c>
      <c r="F705" s="8">
        <v>86</v>
      </c>
      <c r="G705" s="8">
        <v>125</v>
      </c>
      <c r="H705" s="9">
        <v>25050</v>
      </c>
      <c r="I705" s="10">
        <v>182</v>
      </c>
      <c r="J705" s="11">
        <f t="shared" si="73"/>
        <v>0.68799999999999994</v>
      </c>
      <c r="K705" s="10">
        <f t="shared" si="74"/>
        <v>291.27906976744185</v>
      </c>
      <c r="L705" s="10">
        <f t="shared" si="75"/>
        <v>200.4</v>
      </c>
      <c r="M705" s="5">
        <f t="shared" si="76"/>
        <v>109.27906976744185</v>
      </c>
      <c r="N705" s="1"/>
    </row>
    <row r="706" spans="1:14" x14ac:dyDescent="0.35">
      <c r="A706" s="6">
        <v>45997</v>
      </c>
      <c r="B706" s="7" t="s">
        <v>56</v>
      </c>
      <c r="C706" s="2" t="str">
        <f t="shared" ref="C706:C731" si="77">CHOOSE(MONTH(A706),"Jan","Feb","Mar","Apr","May","Jun","Jul","Aug","Sep","Oct","Nov","Dec")</f>
        <v>Dec</v>
      </c>
      <c r="D706" s="2" t="str">
        <f t="shared" ref="D706:D731" si="78">IF(AND(MONTH(A706)&gt;=5,MONTH(A706)&lt;=9),"Peak","Off-Peak")</f>
        <v>Off-Peak</v>
      </c>
      <c r="E706" s="2" t="str">
        <f t="shared" ref="E706:E731" si="79">CHOOSE(WEEKDAY(A706,2),"Mon","Tue","Wed","Thu","Fri","Sat","Sun")</f>
        <v>Sat</v>
      </c>
      <c r="F706" s="8">
        <v>120</v>
      </c>
      <c r="G706" s="8">
        <v>125</v>
      </c>
      <c r="H706" s="9">
        <v>29057</v>
      </c>
      <c r="I706" s="10">
        <v>210</v>
      </c>
      <c r="J706" s="11">
        <f t="shared" ref="J706:J731" si="80">IF(G706=0,0,F706/G706)</f>
        <v>0.96</v>
      </c>
      <c r="K706" s="10">
        <f t="shared" ref="K706:K731" si="81">IF(F706=0,0,H706/F706)</f>
        <v>242.14166666666668</v>
      </c>
      <c r="L706" s="10">
        <f t="shared" ref="L706:L731" si="82">IF(G706=0,0,H706/G706)</f>
        <v>232.45599999999999</v>
      </c>
      <c r="M706" s="5">
        <f t="shared" ref="M706:M731" si="83">K706-I706</f>
        <v>32.14166666666668</v>
      </c>
      <c r="N706" s="1"/>
    </row>
    <row r="707" spans="1:14" x14ac:dyDescent="0.35">
      <c r="A707" s="6">
        <v>45998</v>
      </c>
      <c r="B707" s="7" t="s">
        <v>56</v>
      </c>
      <c r="C707" s="2" t="str">
        <f t="shared" si="77"/>
        <v>Dec</v>
      </c>
      <c r="D707" s="2" t="str">
        <f t="shared" si="78"/>
        <v>Off-Peak</v>
      </c>
      <c r="E707" s="2" t="str">
        <f t="shared" si="79"/>
        <v>Sun</v>
      </c>
      <c r="F707" s="8">
        <v>94</v>
      </c>
      <c r="G707" s="8">
        <v>125</v>
      </c>
      <c r="H707" s="9">
        <v>15633</v>
      </c>
      <c r="I707" s="10">
        <v>207</v>
      </c>
      <c r="J707" s="11">
        <f t="shared" si="80"/>
        <v>0.752</v>
      </c>
      <c r="K707" s="10">
        <f t="shared" si="81"/>
        <v>166.30851063829786</v>
      </c>
      <c r="L707" s="10">
        <f t="shared" si="82"/>
        <v>125.06399999999999</v>
      </c>
      <c r="M707" s="5">
        <f t="shared" si="83"/>
        <v>-40.691489361702139</v>
      </c>
      <c r="N707" s="1"/>
    </row>
    <row r="708" spans="1:14" x14ac:dyDescent="0.35">
      <c r="A708" s="6">
        <v>45999</v>
      </c>
      <c r="B708" s="7" t="s">
        <v>56</v>
      </c>
      <c r="C708" s="2" t="str">
        <f t="shared" si="77"/>
        <v>Dec</v>
      </c>
      <c r="D708" s="2" t="str">
        <f t="shared" si="78"/>
        <v>Off-Peak</v>
      </c>
      <c r="E708" s="2" t="str">
        <f t="shared" si="79"/>
        <v>Mon</v>
      </c>
      <c r="F708" s="8">
        <v>115</v>
      </c>
      <c r="G708" s="8">
        <v>125</v>
      </c>
      <c r="H708" s="9">
        <v>22106</v>
      </c>
      <c r="I708" s="10">
        <v>226</v>
      </c>
      <c r="J708" s="11">
        <f t="shared" si="80"/>
        <v>0.92</v>
      </c>
      <c r="K708" s="10">
        <f t="shared" si="81"/>
        <v>192.22608695652173</v>
      </c>
      <c r="L708" s="10">
        <f t="shared" si="82"/>
        <v>176.84800000000001</v>
      </c>
      <c r="M708" s="5">
        <f t="shared" si="83"/>
        <v>-33.773913043478274</v>
      </c>
      <c r="N708" s="1"/>
    </row>
    <row r="709" spans="1:14" x14ac:dyDescent="0.35">
      <c r="A709" s="6">
        <v>46000</v>
      </c>
      <c r="B709" s="7" t="s">
        <v>56</v>
      </c>
      <c r="C709" s="2" t="str">
        <f t="shared" si="77"/>
        <v>Dec</v>
      </c>
      <c r="D709" s="2" t="str">
        <f t="shared" si="78"/>
        <v>Off-Peak</v>
      </c>
      <c r="E709" s="2" t="str">
        <f t="shared" si="79"/>
        <v>Tue</v>
      </c>
      <c r="F709" s="8">
        <v>116</v>
      </c>
      <c r="G709" s="8">
        <v>125</v>
      </c>
      <c r="H709" s="9">
        <v>25969</v>
      </c>
      <c r="I709" s="10">
        <v>129</v>
      </c>
      <c r="J709" s="11">
        <f t="shared" si="80"/>
        <v>0.92800000000000005</v>
      </c>
      <c r="K709" s="10">
        <f t="shared" si="81"/>
        <v>223.87068965517241</v>
      </c>
      <c r="L709" s="10">
        <f t="shared" si="82"/>
        <v>207.75200000000001</v>
      </c>
      <c r="M709" s="5">
        <f t="shared" si="83"/>
        <v>94.870689655172413</v>
      </c>
      <c r="N709" s="1"/>
    </row>
    <row r="710" spans="1:14" x14ac:dyDescent="0.35">
      <c r="A710" s="6">
        <v>46001</v>
      </c>
      <c r="B710" s="7" t="s">
        <v>56</v>
      </c>
      <c r="C710" s="2" t="str">
        <f t="shared" si="77"/>
        <v>Dec</v>
      </c>
      <c r="D710" s="2" t="str">
        <f t="shared" si="78"/>
        <v>Off-Peak</v>
      </c>
      <c r="E710" s="2" t="str">
        <f t="shared" si="79"/>
        <v>Wed</v>
      </c>
      <c r="F710" s="8">
        <v>88</v>
      </c>
      <c r="G710" s="8">
        <v>125</v>
      </c>
      <c r="H710" s="9">
        <v>28014</v>
      </c>
      <c r="I710" s="10">
        <v>136</v>
      </c>
      <c r="J710" s="11">
        <f t="shared" si="80"/>
        <v>0.70399999999999996</v>
      </c>
      <c r="K710" s="10">
        <f t="shared" si="81"/>
        <v>318.34090909090907</v>
      </c>
      <c r="L710" s="10">
        <f t="shared" si="82"/>
        <v>224.11199999999999</v>
      </c>
      <c r="M710" s="5">
        <f t="shared" si="83"/>
        <v>182.34090909090907</v>
      </c>
      <c r="N710" s="1"/>
    </row>
    <row r="711" spans="1:14" x14ac:dyDescent="0.35">
      <c r="A711" s="6">
        <v>46002</v>
      </c>
      <c r="B711" s="7" t="s">
        <v>56</v>
      </c>
      <c r="C711" s="2" t="str">
        <f t="shared" si="77"/>
        <v>Dec</v>
      </c>
      <c r="D711" s="2" t="str">
        <f t="shared" si="78"/>
        <v>Off-Peak</v>
      </c>
      <c r="E711" s="2" t="str">
        <f t="shared" si="79"/>
        <v>Thu</v>
      </c>
      <c r="F711" s="8">
        <v>103</v>
      </c>
      <c r="G711" s="8">
        <v>125</v>
      </c>
      <c r="H711" s="9">
        <v>16976</v>
      </c>
      <c r="I711" s="10">
        <v>233</v>
      </c>
      <c r="J711" s="11">
        <f t="shared" si="80"/>
        <v>0.82399999999999995</v>
      </c>
      <c r="K711" s="10">
        <f t="shared" si="81"/>
        <v>164.81553398058253</v>
      </c>
      <c r="L711" s="10">
        <f t="shared" si="82"/>
        <v>135.80799999999999</v>
      </c>
      <c r="M711" s="5">
        <f t="shared" si="83"/>
        <v>-68.184466019417471</v>
      </c>
      <c r="N711" s="1"/>
    </row>
    <row r="712" spans="1:14" x14ac:dyDescent="0.35">
      <c r="A712" s="6">
        <v>46003</v>
      </c>
      <c r="B712" s="7" t="s">
        <v>56</v>
      </c>
      <c r="C712" s="2" t="str">
        <f t="shared" si="77"/>
        <v>Dec</v>
      </c>
      <c r="D712" s="2" t="str">
        <f t="shared" si="78"/>
        <v>Off-Peak</v>
      </c>
      <c r="E712" s="2" t="str">
        <f t="shared" si="79"/>
        <v>Fri</v>
      </c>
      <c r="F712" s="8">
        <v>100</v>
      </c>
      <c r="G712" s="8">
        <v>125</v>
      </c>
      <c r="H712" s="9">
        <v>11267</v>
      </c>
      <c r="I712" s="10">
        <v>173</v>
      </c>
      <c r="J712" s="11">
        <f t="shared" si="80"/>
        <v>0.8</v>
      </c>
      <c r="K712" s="10">
        <f t="shared" si="81"/>
        <v>112.67</v>
      </c>
      <c r="L712" s="10">
        <f t="shared" si="82"/>
        <v>90.135999999999996</v>
      </c>
      <c r="M712" s="5">
        <f t="shared" si="83"/>
        <v>-60.33</v>
      </c>
      <c r="N712" s="1" t="s">
        <v>22</v>
      </c>
    </row>
    <row r="713" spans="1:14" x14ac:dyDescent="0.35">
      <c r="A713" s="6">
        <v>46004</v>
      </c>
      <c r="B713" s="7" t="s">
        <v>56</v>
      </c>
      <c r="C713" s="2" t="str">
        <f t="shared" si="77"/>
        <v>Dec</v>
      </c>
      <c r="D713" s="2" t="str">
        <f t="shared" si="78"/>
        <v>Off-Peak</v>
      </c>
      <c r="E713" s="2" t="str">
        <f t="shared" si="79"/>
        <v>Sat</v>
      </c>
      <c r="F713" s="8">
        <v>85</v>
      </c>
      <c r="G713" s="8">
        <v>125</v>
      </c>
      <c r="H713" s="9">
        <v>14618</v>
      </c>
      <c r="I713" s="10">
        <v>127</v>
      </c>
      <c r="J713" s="11">
        <f t="shared" si="80"/>
        <v>0.68</v>
      </c>
      <c r="K713" s="10">
        <f t="shared" si="81"/>
        <v>171.97647058823529</v>
      </c>
      <c r="L713" s="10">
        <f t="shared" si="82"/>
        <v>116.944</v>
      </c>
      <c r="M713" s="5">
        <f t="shared" si="83"/>
        <v>44.976470588235287</v>
      </c>
      <c r="N713" s="1" t="s">
        <v>22</v>
      </c>
    </row>
    <row r="714" spans="1:14" x14ac:dyDescent="0.35">
      <c r="A714" s="6">
        <v>46005</v>
      </c>
      <c r="B714" s="7" t="s">
        <v>56</v>
      </c>
      <c r="C714" s="2" t="str">
        <f t="shared" si="77"/>
        <v>Dec</v>
      </c>
      <c r="D714" s="2" t="str">
        <f t="shared" si="78"/>
        <v>Off-Peak</v>
      </c>
      <c r="E714" s="2" t="str">
        <f t="shared" si="79"/>
        <v>Sun</v>
      </c>
      <c r="F714" s="8">
        <v>90</v>
      </c>
      <c r="G714" s="8">
        <v>125</v>
      </c>
      <c r="H714" s="9">
        <v>24853</v>
      </c>
      <c r="I714" s="10">
        <v>181</v>
      </c>
      <c r="J714" s="11">
        <f t="shared" si="80"/>
        <v>0.72</v>
      </c>
      <c r="K714" s="10">
        <f t="shared" si="81"/>
        <v>276.14444444444445</v>
      </c>
      <c r="L714" s="10">
        <f t="shared" si="82"/>
        <v>198.82400000000001</v>
      </c>
      <c r="M714" s="5">
        <f t="shared" si="83"/>
        <v>95.144444444444446</v>
      </c>
      <c r="N714" s="1" t="s">
        <v>22</v>
      </c>
    </row>
    <row r="715" spans="1:14" x14ac:dyDescent="0.35">
      <c r="A715" s="6">
        <v>46006</v>
      </c>
      <c r="B715" s="7" t="s">
        <v>56</v>
      </c>
      <c r="C715" s="2" t="str">
        <f t="shared" si="77"/>
        <v>Dec</v>
      </c>
      <c r="D715" s="2" t="str">
        <f t="shared" si="78"/>
        <v>Off-Peak</v>
      </c>
      <c r="E715" s="2" t="str">
        <f t="shared" si="79"/>
        <v>Mon</v>
      </c>
      <c r="F715" s="8">
        <v>88</v>
      </c>
      <c r="G715" s="8">
        <v>125</v>
      </c>
      <c r="H715" s="9">
        <v>14986</v>
      </c>
      <c r="I715" s="10">
        <v>189</v>
      </c>
      <c r="J715" s="11">
        <f t="shared" si="80"/>
        <v>0.70399999999999996</v>
      </c>
      <c r="K715" s="10">
        <f t="shared" si="81"/>
        <v>170.29545454545453</v>
      </c>
      <c r="L715" s="10">
        <f t="shared" si="82"/>
        <v>119.88800000000001</v>
      </c>
      <c r="M715" s="5">
        <f t="shared" si="83"/>
        <v>-18.704545454545467</v>
      </c>
      <c r="N715" s="1" t="s">
        <v>22</v>
      </c>
    </row>
    <row r="716" spans="1:14" x14ac:dyDescent="0.35">
      <c r="A716" s="6">
        <v>46007</v>
      </c>
      <c r="B716" s="7" t="s">
        <v>56</v>
      </c>
      <c r="C716" s="2" t="str">
        <f t="shared" si="77"/>
        <v>Dec</v>
      </c>
      <c r="D716" s="2" t="str">
        <f t="shared" si="78"/>
        <v>Off-Peak</v>
      </c>
      <c r="E716" s="2" t="str">
        <f t="shared" si="79"/>
        <v>Tue</v>
      </c>
      <c r="F716" s="8">
        <v>103</v>
      </c>
      <c r="G716" s="8">
        <v>125</v>
      </c>
      <c r="H716" s="9">
        <v>26520</v>
      </c>
      <c r="I716" s="10">
        <v>191</v>
      </c>
      <c r="J716" s="11">
        <f t="shared" si="80"/>
        <v>0.82399999999999995</v>
      </c>
      <c r="K716" s="10">
        <f t="shared" si="81"/>
        <v>257.47572815533982</v>
      </c>
      <c r="L716" s="10">
        <f t="shared" si="82"/>
        <v>212.16</v>
      </c>
      <c r="M716" s="5">
        <f t="shared" si="83"/>
        <v>66.475728155339823</v>
      </c>
      <c r="N716" s="1" t="s">
        <v>22</v>
      </c>
    </row>
    <row r="717" spans="1:14" x14ac:dyDescent="0.35">
      <c r="A717" s="6">
        <v>46008</v>
      </c>
      <c r="B717" s="7" t="s">
        <v>56</v>
      </c>
      <c r="C717" s="2" t="str">
        <f t="shared" si="77"/>
        <v>Dec</v>
      </c>
      <c r="D717" s="2" t="str">
        <f t="shared" si="78"/>
        <v>Off-Peak</v>
      </c>
      <c r="E717" s="2" t="str">
        <f t="shared" si="79"/>
        <v>Wed</v>
      </c>
      <c r="F717" s="8">
        <v>115</v>
      </c>
      <c r="G717" s="8">
        <v>125</v>
      </c>
      <c r="H717" s="9">
        <v>22303</v>
      </c>
      <c r="I717" s="10">
        <v>211</v>
      </c>
      <c r="J717" s="11">
        <f t="shared" si="80"/>
        <v>0.92</v>
      </c>
      <c r="K717" s="10">
        <f t="shared" si="81"/>
        <v>193.93913043478261</v>
      </c>
      <c r="L717" s="10">
        <f t="shared" si="82"/>
        <v>178.42400000000001</v>
      </c>
      <c r="M717" s="5">
        <f t="shared" si="83"/>
        <v>-17.060869565217388</v>
      </c>
      <c r="N717" s="1" t="s">
        <v>22</v>
      </c>
    </row>
    <row r="718" spans="1:14" x14ac:dyDescent="0.35">
      <c r="A718" s="6">
        <v>46009</v>
      </c>
      <c r="B718" s="7" t="s">
        <v>56</v>
      </c>
      <c r="C718" s="2" t="str">
        <f t="shared" si="77"/>
        <v>Dec</v>
      </c>
      <c r="D718" s="2" t="str">
        <f t="shared" si="78"/>
        <v>Off-Peak</v>
      </c>
      <c r="E718" s="2" t="str">
        <f t="shared" si="79"/>
        <v>Thu</v>
      </c>
      <c r="F718" s="8">
        <v>114</v>
      </c>
      <c r="G718" s="8">
        <v>125</v>
      </c>
      <c r="H718" s="9">
        <v>27179</v>
      </c>
      <c r="I718" s="10">
        <v>183</v>
      </c>
      <c r="J718" s="11">
        <f t="shared" si="80"/>
        <v>0.91200000000000003</v>
      </c>
      <c r="K718" s="10">
        <f t="shared" si="81"/>
        <v>238.41228070175438</v>
      </c>
      <c r="L718" s="10">
        <f t="shared" si="82"/>
        <v>217.43199999999999</v>
      </c>
      <c r="M718" s="5">
        <f t="shared" si="83"/>
        <v>55.412280701754383</v>
      </c>
      <c r="N718" s="1" t="s">
        <v>22</v>
      </c>
    </row>
    <row r="719" spans="1:14" x14ac:dyDescent="0.35">
      <c r="A719" s="6">
        <v>46010</v>
      </c>
      <c r="B719" s="7" t="s">
        <v>56</v>
      </c>
      <c r="C719" s="2" t="str">
        <f t="shared" si="77"/>
        <v>Dec</v>
      </c>
      <c r="D719" s="2" t="str">
        <f t="shared" si="78"/>
        <v>Off-Peak</v>
      </c>
      <c r="E719" s="2" t="str">
        <f t="shared" si="79"/>
        <v>Fri</v>
      </c>
      <c r="F719" s="8">
        <v>114</v>
      </c>
      <c r="G719" s="8">
        <v>125</v>
      </c>
      <c r="H719" s="9">
        <v>18457</v>
      </c>
      <c r="I719" s="10">
        <v>141</v>
      </c>
      <c r="J719" s="11">
        <f t="shared" si="80"/>
        <v>0.91200000000000003</v>
      </c>
      <c r="K719" s="10">
        <f t="shared" si="81"/>
        <v>161.90350877192984</v>
      </c>
      <c r="L719" s="10">
        <f t="shared" si="82"/>
        <v>147.65600000000001</v>
      </c>
      <c r="M719" s="5">
        <f t="shared" si="83"/>
        <v>20.903508771929836</v>
      </c>
      <c r="N719" s="1" t="s">
        <v>22</v>
      </c>
    </row>
    <row r="720" spans="1:14" x14ac:dyDescent="0.35">
      <c r="A720" s="6">
        <v>46011</v>
      </c>
      <c r="B720" s="7" t="s">
        <v>56</v>
      </c>
      <c r="C720" s="2" t="str">
        <f t="shared" si="77"/>
        <v>Dec</v>
      </c>
      <c r="D720" s="2" t="str">
        <f t="shared" si="78"/>
        <v>Off-Peak</v>
      </c>
      <c r="E720" s="2" t="str">
        <f t="shared" si="79"/>
        <v>Sat</v>
      </c>
      <c r="F720" s="8">
        <v>97</v>
      </c>
      <c r="G720" s="8">
        <v>125</v>
      </c>
      <c r="H720" s="9">
        <v>24442</v>
      </c>
      <c r="I720" s="10">
        <v>214</v>
      </c>
      <c r="J720" s="11">
        <f t="shared" si="80"/>
        <v>0.77600000000000002</v>
      </c>
      <c r="K720" s="10">
        <f t="shared" si="81"/>
        <v>251.97938144329896</v>
      </c>
      <c r="L720" s="10">
        <f t="shared" si="82"/>
        <v>195.536</v>
      </c>
      <c r="M720" s="5">
        <f t="shared" si="83"/>
        <v>37.979381443298962</v>
      </c>
      <c r="N720" s="1" t="s">
        <v>22</v>
      </c>
    </row>
    <row r="721" spans="1:14" x14ac:dyDescent="0.35">
      <c r="A721" s="6">
        <v>46012</v>
      </c>
      <c r="B721" s="7" t="s">
        <v>56</v>
      </c>
      <c r="C721" s="2" t="str">
        <f t="shared" si="77"/>
        <v>Dec</v>
      </c>
      <c r="D721" s="2" t="str">
        <f t="shared" si="78"/>
        <v>Off-Peak</v>
      </c>
      <c r="E721" s="2" t="str">
        <f t="shared" si="79"/>
        <v>Sun</v>
      </c>
      <c r="F721" s="8">
        <v>101</v>
      </c>
      <c r="G721" s="8">
        <v>125</v>
      </c>
      <c r="H721" s="9">
        <v>33582</v>
      </c>
      <c r="I721" s="10">
        <v>206</v>
      </c>
      <c r="J721" s="11">
        <f t="shared" si="80"/>
        <v>0.80800000000000005</v>
      </c>
      <c r="K721" s="10">
        <f t="shared" si="81"/>
        <v>332.49504950495049</v>
      </c>
      <c r="L721" s="10">
        <f t="shared" si="82"/>
        <v>268.65600000000001</v>
      </c>
      <c r="M721" s="5">
        <f t="shared" si="83"/>
        <v>126.49504950495049</v>
      </c>
      <c r="N721" s="1" t="s">
        <v>22</v>
      </c>
    </row>
    <row r="722" spans="1:14" x14ac:dyDescent="0.35">
      <c r="A722" s="6">
        <v>46013</v>
      </c>
      <c r="B722" s="7" t="s">
        <v>56</v>
      </c>
      <c r="C722" s="2" t="str">
        <f t="shared" si="77"/>
        <v>Dec</v>
      </c>
      <c r="D722" s="2" t="str">
        <f t="shared" si="78"/>
        <v>Off-Peak</v>
      </c>
      <c r="E722" s="2" t="str">
        <f t="shared" si="79"/>
        <v>Mon</v>
      </c>
      <c r="F722" s="8">
        <v>119</v>
      </c>
      <c r="G722" s="8">
        <v>125</v>
      </c>
      <c r="H722" s="9">
        <v>22772</v>
      </c>
      <c r="I722" s="10">
        <v>166</v>
      </c>
      <c r="J722" s="11">
        <f t="shared" si="80"/>
        <v>0.95199999999999996</v>
      </c>
      <c r="K722" s="10">
        <f t="shared" si="81"/>
        <v>191.36134453781511</v>
      </c>
      <c r="L722" s="10">
        <f t="shared" si="82"/>
        <v>182.17599999999999</v>
      </c>
      <c r="M722" s="5">
        <f t="shared" si="83"/>
        <v>25.361344537815114</v>
      </c>
      <c r="N722" s="1" t="s">
        <v>22</v>
      </c>
    </row>
    <row r="723" spans="1:14" x14ac:dyDescent="0.35">
      <c r="A723" s="6">
        <v>46014</v>
      </c>
      <c r="B723" s="7" t="s">
        <v>56</v>
      </c>
      <c r="C723" s="2" t="str">
        <f t="shared" si="77"/>
        <v>Dec</v>
      </c>
      <c r="D723" s="2" t="str">
        <f t="shared" si="78"/>
        <v>Off-Peak</v>
      </c>
      <c r="E723" s="2" t="str">
        <f t="shared" si="79"/>
        <v>Tue</v>
      </c>
      <c r="F723" s="8">
        <v>118</v>
      </c>
      <c r="G723" s="8">
        <v>125</v>
      </c>
      <c r="H723" s="9">
        <v>11068</v>
      </c>
      <c r="I723" s="10">
        <v>147</v>
      </c>
      <c r="J723" s="11">
        <f t="shared" si="80"/>
        <v>0.94399999999999995</v>
      </c>
      <c r="K723" s="10">
        <f t="shared" si="81"/>
        <v>93.79661016949153</v>
      </c>
      <c r="L723" s="10">
        <f t="shared" si="82"/>
        <v>88.543999999999997</v>
      </c>
      <c r="M723" s="5">
        <f t="shared" si="83"/>
        <v>-53.20338983050847</v>
      </c>
      <c r="N723" s="1" t="s">
        <v>22</v>
      </c>
    </row>
    <row r="724" spans="1:14" x14ac:dyDescent="0.35">
      <c r="A724" s="6">
        <v>46015</v>
      </c>
      <c r="B724" s="7" t="s">
        <v>56</v>
      </c>
      <c r="C724" s="2" t="str">
        <f t="shared" si="77"/>
        <v>Dec</v>
      </c>
      <c r="D724" s="2" t="str">
        <f t="shared" si="78"/>
        <v>Off-Peak</v>
      </c>
      <c r="E724" s="2" t="str">
        <f t="shared" si="79"/>
        <v>Wed</v>
      </c>
      <c r="F724" s="8">
        <v>110</v>
      </c>
      <c r="G724" s="8">
        <v>125</v>
      </c>
      <c r="H724" s="9">
        <v>21337</v>
      </c>
      <c r="I724" s="10">
        <v>192</v>
      </c>
      <c r="J724" s="11">
        <f t="shared" si="80"/>
        <v>0.88</v>
      </c>
      <c r="K724" s="10">
        <f t="shared" si="81"/>
        <v>193.97272727272727</v>
      </c>
      <c r="L724" s="10">
        <f t="shared" si="82"/>
        <v>170.696</v>
      </c>
      <c r="M724" s="5">
        <f t="shared" si="83"/>
        <v>1.9727272727272691</v>
      </c>
      <c r="N724" s="1"/>
    </row>
    <row r="725" spans="1:14" x14ac:dyDescent="0.35">
      <c r="A725" s="6">
        <v>46016</v>
      </c>
      <c r="B725" s="7" t="s">
        <v>56</v>
      </c>
      <c r="C725" s="2" t="str">
        <f t="shared" si="77"/>
        <v>Dec</v>
      </c>
      <c r="D725" s="2" t="str">
        <f t="shared" si="78"/>
        <v>Off-Peak</v>
      </c>
      <c r="E725" s="2" t="str">
        <f t="shared" si="79"/>
        <v>Thu</v>
      </c>
      <c r="F725" s="8">
        <v>107</v>
      </c>
      <c r="G725" s="8">
        <v>125</v>
      </c>
      <c r="H725" s="9">
        <v>27974</v>
      </c>
      <c r="I725" s="10">
        <v>144</v>
      </c>
      <c r="J725" s="11">
        <f t="shared" si="80"/>
        <v>0.85599999999999998</v>
      </c>
      <c r="K725" s="10">
        <f t="shared" si="81"/>
        <v>261.43925233644859</v>
      </c>
      <c r="L725" s="10">
        <f t="shared" si="82"/>
        <v>223.792</v>
      </c>
      <c r="M725" s="5">
        <f t="shared" si="83"/>
        <v>117.43925233644859</v>
      </c>
      <c r="N725" s="1"/>
    </row>
    <row r="726" spans="1:14" x14ac:dyDescent="0.35">
      <c r="A726" s="6">
        <v>46017</v>
      </c>
      <c r="B726" s="7" t="s">
        <v>56</v>
      </c>
      <c r="C726" s="2" t="str">
        <f t="shared" si="77"/>
        <v>Dec</v>
      </c>
      <c r="D726" s="2" t="str">
        <f t="shared" si="78"/>
        <v>Off-Peak</v>
      </c>
      <c r="E726" s="2" t="str">
        <f t="shared" si="79"/>
        <v>Fri</v>
      </c>
      <c r="F726" s="8">
        <v>91</v>
      </c>
      <c r="G726" s="8">
        <v>125</v>
      </c>
      <c r="H726" s="9">
        <v>27368</v>
      </c>
      <c r="I726" s="10">
        <v>216</v>
      </c>
      <c r="J726" s="11">
        <f t="shared" si="80"/>
        <v>0.72799999999999998</v>
      </c>
      <c r="K726" s="10">
        <f t="shared" si="81"/>
        <v>300.74725274725273</v>
      </c>
      <c r="L726" s="10">
        <f t="shared" si="82"/>
        <v>218.94399999999999</v>
      </c>
      <c r="M726" s="5">
        <f t="shared" si="83"/>
        <v>84.74725274725273</v>
      </c>
      <c r="N726" s="1"/>
    </row>
    <row r="727" spans="1:14" x14ac:dyDescent="0.35">
      <c r="A727" s="6">
        <v>46018</v>
      </c>
      <c r="B727" s="7" t="s">
        <v>56</v>
      </c>
      <c r="C727" s="2" t="str">
        <f t="shared" si="77"/>
        <v>Dec</v>
      </c>
      <c r="D727" s="2" t="str">
        <f t="shared" si="78"/>
        <v>Off-Peak</v>
      </c>
      <c r="E727" s="2" t="str">
        <f t="shared" si="79"/>
        <v>Sat</v>
      </c>
      <c r="F727" s="8">
        <v>112</v>
      </c>
      <c r="G727" s="8">
        <v>125</v>
      </c>
      <c r="H727" s="9">
        <v>22598</v>
      </c>
      <c r="I727" s="10">
        <v>182</v>
      </c>
      <c r="J727" s="11">
        <f t="shared" si="80"/>
        <v>0.89600000000000002</v>
      </c>
      <c r="K727" s="10">
        <f t="shared" si="81"/>
        <v>201.76785714285714</v>
      </c>
      <c r="L727" s="10">
        <f t="shared" si="82"/>
        <v>180.78399999999999</v>
      </c>
      <c r="M727" s="5">
        <f t="shared" si="83"/>
        <v>19.767857142857139</v>
      </c>
      <c r="N727" s="1"/>
    </row>
    <row r="728" spans="1:14" x14ac:dyDescent="0.35">
      <c r="A728" s="6">
        <v>46019</v>
      </c>
      <c r="B728" s="7" t="s">
        <v>56</v>
      </c>
      <c r="C728" s="2" t="str">
        <f t="shared" si="77"/>
        <v>Dec</v>
      </c>
      <c r="D728" s="2" t="str">
        <f t="shared" si="78"/>
        <v>Off-Peak</v>
      </c>
      <c r="E728" s="2" t="str">
        <f t="shared" si="79"/>
        <v>Sun</v>
      </c>
      <c r="F728" s="8">
        <v>95</v>
      </c>
      <c r="G728" s="8">
        <v>125</v>
      </c>
      <c r="H728" s="9">
        <v>25699</v>
      </c>
      <c r="I728" s="10">
        <v>186</v>
      </c>
      <c r="J728" s="11">
        <f t="shared" si="80"/>
        <v>0.76</v>
      </c>
      <c r="K728" s="10">
        <f t="shared" si="81"/>
        <v>270.51578947368421</v>
      </c>
      <c r="L728" s="10">
        <f t="shared" si="82"/>
        <v>205.59200000000001</v>
      </c>
      <c r="M728" s="5">
        <f t="shared" si="83"/>
        <v>84.515789473684208</v>
      </c>
      <c r="N728" s="1"/>
    </row>
    <row r="729" spans="1:14" x14ac:dyDescent="0.35">
      <c r="A729" s="6">
        <v>46020</v>
      </c>
      <c r="B729" s="7" t="s">
        <v>56</v>
      </c>
      <c r="C729" s="2" t="str">
        <f t="shared" si="77"/>
        <v>Dec</v>
      </c>
      <c r="D729" s="2" t="str">
        <f t="shared" si="78"/>
        <v>Off-Peak</v>
      </c>
      <c r="E729" s="2" t="str">
        <f t="shared" si="79"/>
        <v>Mon</v>
      </c>
      <c r="F729" s="8">
        <v>120</v>
      </c>
      <c r="G729" s="8">
        <v>125</v>
      </c>
      <c r="H729" s="9">
        <v>21039</v>
      </c>
      <c r="I729" s="10">
        <v>212</v>
      </c>
      <c r="J729" s="11">
        <f t="shared" si="80"/>
        <v>0.96</v>
      </c>
      <c r="K729" s="10">
        <f t="shared" si="81"/>
        <v>175.32499999999999</v>
      </c>
      <c r="L729" s="10">
        <f t="shared" si="82"/>
        <v>168.31200000000001</v>
      </c>
      <c r="M729" s="5">
        <f t="shared" si="83"/>
        <v>-36.675000000000011</v>
      </c>
      <c r="N729" s="1"/>
    </row>
    <row r="730" spans="1:14" x14ac:dyDescent="0.35">
      <c r="A730" s="6">
        <v>46021</v>
      </c>
      <c r="B730" s="7" t="s">
        <v>56</v>
      </c>
      <c r="C730" s="2" t="str">
        <f t="shared" si="77"/>
        <v>Dec</v>
      </c>
      <c r="D730" s="2" t="str">
        <f t="shared" si="78"/>
        <v>Off-Peak</v>
      </c>
      <c r="E730" s="2" t="str">
        <f t="shared" si="79"/>
        <v>Tue</v>
      </c>
      <c r="F730" s="8">
        <v>93</v>
      </c>
      <c r="G730" s="8">
        <v>125</v>
      </c>
      <c r="H730" s="9">
        <v>14069</v>
      </c>
      <c r="I730" s="10">
        <v>237</v>
      </c>
      <c r="J730" s="11">
        <f t="shared" si="80"/>
        <v>0.74399999999999999</v>
      </c>
      <c r="K730" s="10">
        <f t="shared" si="81"/>
        <v>151.27956989247312</v>
      </c>
      <c r="L730" s="10">
        <f t="shared" si="82"/>
        <v>112.55200000000001</v>
      </c>
      <c r="M730" s="5">
        <f t="shared" si="83"/>
        <v>-85.72043010752688</v>
      </c>
      <c r="N730" s="1"/>
    </row>
    <row r="731" spans="1:14" x14ac:dyDescent="0.35">
      <c r="A731" s="6">
        <v>46022</v>
      </c>
      <c r="B731" s="7" t="s">
        <v>56</v>
      </c>
      <c r="C731" s="2" t="str">
        <f t="shared" si="77"/>
        <v>Dec</v>
      </c>
      <c r="D731" s="2" t="str">
        <f t="shared" si="78"/>
        <v>Off-Peak</v>
      </c>
      <c r="E731" s="2" t="str">
        <f t="shared" si="79"/>
        <v>Wed</v>
      </c>
      <c r="F731" s="8">
        <v>86</v>
      </c>
      <c r="G731" s="8">
        <v>125</v>
      </c>
      <c r="H731" s="9">
        <v>20909</v>
      </c>
      <c r="I731" s="10">
        <v>149</v>
      </c>
      <c r="J731" s="11">
        <f t="shared" si="80"/>
        <v>0.68799999999999994</v>
      </c>
      <c r="K731" s="10">
        <f t="shared" si="81"/>
        <v>243.12790697674419</v>
      </c>
      <c r="L731" s="10">
        <f t="shared" si="82"/>
        <v>167.27199999999999</v>
      </c>
      <c r="M731" s="5">
        <f t="shared" si="83"/>
        <v>94.127906976744185</v>
      </c>
      <c r="N731" s="1" t="s">
        <v>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F67-46B7-4AF9-8E33-B6CB00A5AD67}">
  <dimension ref="A1:J16"/>
  <sheetViews>
    <sheetView workbookViewId="0">
      <selection activeCell="B1" sqref="B1"/>
    </sheetView>
  </sheetViews>
  <sheetFormatPr defaultRowHeight="14.5" x14ac:dyDescent="0.35"/>
  <cols>
    <col min="1" max="10" width="13.54296875" customWidth="1"/>
  </cols>
  <sheetData>
    <row r="1" spans="1:10" x14ac:dyDescent="0.35">
      <c r="A1" s="27" t="s">
        <v>54</v>
      </c>
      <c r="B1" t="str">
        <f>Dashboard!$B$6</f>
        <v>Hotel California</v>
      </c>
      <c r="H1" s="26" t="str">
        <f>IF(Dashboard!$B$6="All Properties","*",Dashboard!$B$6)</f>
        <v>Hotel California</v>
      </c>
      <c r="I1" s="26"/>
    </row>
    <row r="3" spans="1:10" ht="42" x14ac:dyDescent="0.35">
      <c r="A3" s="12" t="s">
        <v>2</v>
      </c>
      <c r="B3" s="12" t="s">
        <v>5</v>
      </c>
      <c r="C3" s="12" t="s">
        <v>24</v>
      </c>
      <c r="D3" s="12" t="s">
        <v>7</v>
      </c>
      <c r="E3" s="12" t="s">
        <v>9</v>
      </c>
      <c r="F3" s="12" t="s">
        <v>10</v>
      </c>
      <c r="G3" s="12" t="s">
        <v>11</v>
      </c>
      <c r="H3" s="12" t="s">
        <v>25</v>
      </c>
      <c r="I3" s="12" t="s">
        <v>26</v>
      </c>
      <c r="J3" s="12" t="s">
        <v>27</v>
      </c>
    </row>
    <row r="4" spans="1:10" x14ac:dyDescent="0.35">
      <c r="A4" s="2" t="s">
        <v>28</v>
      </c>
      <c r="B4" s="13">
        <f>SUMIFS(HotelData[Rooms Sold],HotelData[Month],$A4,HotelData[Property],$H$1)</f>
        <v>3158</v>
      </c>
      <c r="C4" s="13">
        <f>SUMIFS(HotelData[Total Rooms Available],HotelData[Month],$A4,HotelData[Property],$H$1)</f>
        <v>3875</v>
      </c>
      <c r="D4" s="14">
        <f>SUMIFS(HotelData[Room Revenue (€)],HotelData[Month],$A4,HotelData[Property],$H$1)</f>
        <v>773257</v>
      </c>
      <c r="E4" s="3">
        <f t="shared" ref="E4:E16" si="0">IF(C4=0,0,B4/C4)</f>
        <v>0.81496774193548382</v>
      </c>
      <c r="F4" s="4">
        <f t="shared" ref="F4:F16" si="1">IF(B4=0,0,D4/B4)</f>
        <v>244.85655478150727</v>
      </c>
      <c r="G4" s="4">
        <f t="shared" ref="G4:G16" si="2">IF(C4=0,0,D4/C4)</f>
        <v>199.55019354838709</v>
      </c>
      <c r="H4" s="15">
        <f>AVERAGEIFS(HotelData[Competitor Set Avg Rate (€)],HotelData[Month],$A4,HotelData[Property],$H$1)</f>
        <v>187.09677419354838</v>
      </c>
      <c r="I4" s="16">
        <f t="shared" ref="I4:I16" si="3">F4-H4</f>
        <v>57.759780587958886</v>
      </c>
      <c r="J4" s="17">
        <f t="shared" ref="J4:J16" si="4">IF(H4=0,0,F4/H4*100)</f>
        <v>130.87160686597804</v>
      </c>
    </row>
    <row r="5" spans="1:10" x14ac:dyDescent="0.35">
      <c r="A5" s="2" t="s">
        <v>29</v>
      </c>
      <c r="B5" s="13">
        <f>SUMIFS(HotelData[Rooms Sold],HotelData[Month],$A5,HotelData[Property],$H$1)</f>
        <v>2951</v>
      </c>
      <c r="C5" s="13">
        <f>SUMIFS(HotelData[Total Rooms Available],HotelData[Month],$A5,HotelData[Property],$H$1)</f>
        <v>3500</v>
      </c>
      <c r="D5" s="14">
        <f>SUMIFS(HotelData[Room Revenue (€)],HotelData[Month],$A5,HotelData[Property],$H$1)</f>
        <v>670944</v>
      </c>
      <c r="E5" s="3">
        <f t="shared" si="0"/>
        <v>0.84314285714285719</v>
      </c>
      <c r="F5" s="4">
        <f t="shared" si="1"/>
        <v>227.3615723483565</v>
      </c>
      <c r="G5" s="4">
        <f t="shared" si="2"/>
        <v>191.6982857142857</v>
      </c>
      <c r="H5" s="15">
        <f>AVERAGEIFS(HotelData[Competitor Set Avg Rate (€)],HotelData[Month],$A5,HotelData[Property],$H$1)</f>
        <v>179.78571428571428</v>
      </c>
      <c r="I5" s="16">
        <f t="shared" si="3"/>
        <v>47.575858062642226</v>
      </c>
      <c r="J5" s="17">
        <f t="shared" si="4"/>
        <v>126.46253527520824</v>
      </c>
    </row>
    <row r="6" spans="1:10" x14ac:dyDescent="0.35">
      <c r="A6" s="2" t="s">
        <v>30</v>
      </c>
      <c r="B6" s="13">
        <f>SUMIFS(HotelData[Rooms Sold],HotelData[Month],$A6,HotelData[Property],$H$1)</f>
        <v>3137</v>
      </c>
      <c r="C6" s="13">
        <f>SUMIFS(HotelData[Total Rooms Available],HotelData[Month],$A6,HotelData[Property],$H$1)</f>
        <v>3875</v>
      </c>
      <c r="D6" s="14">
        <f>SUMIFS(HotelData[Room Revenue (€)],HotelData[Month],$A6,HotelData[Property],$H$1)</f>
        <v>745712</v>
      </c>
      <c r="E6" s="3">
        <f t="shared" si="0"/>
        <v>0.80954838709677424</v>
      </c>
      <c r="F6" s="4">
        <f t="shared" si="1"/>
        <v>237.71501434491552</v>
      </c>
      <c r="G6" s="4">
        <f t="shared" si="2"/>
        <v>192.4418064516129</v>
      </c>
      <c r="H6" s="15">
        <f>AVERAGEIFS(HotelData[Competitor Set Avg Rate (€)],HotelData[Month],$A6,HotelData[Property],$H$1)</f>
        <v>192.51612903225808</v>
      </c>
      <c r="I6" s="16">
        <f t="shared" si="3"/>
        <v>45.198885312657438</v>
      </c>
      <c r="J6" s="17">
        <f t="shared" si="4"/>
        <v>123.47797326897421</v>
      </c>
    </row>
    <row r="7" spans="1:10" x14ac:dyDescent="0.35">
      <c r="A7" s="2" t="s">
        <v>31</v>
      </c>
      <c r="B7" s="13">
        <f>SUMIFS(HotelData[Rooms Sold],HotelData[Month],$A7,HotelData[Property],$H$1)</f>
        <v>3135</v>
      </c>
      <c r="C7" s="13">
        <f>SUMIFS(HotelData[Total Rooms Available],HotelData[Month],$A7,HotelData[Property],$H$1)</f>
        <v>3750</v>
      </c>
      <c r="D7" s="14">
        <f>SUMIFS(HotelData[Room Revenue (€)],HotelData[Month],$A7,HotelData[Property],$H$1)</f>
        <v>588293</v>
      </c>
      <c r="E7" s="3">
        <f t="shared" si="0"/>
        <v>0.83599999999999997</v>
      </c>
      <c r="F7" s="4">
        <f t="shared" si="1"/>
        <v>187.65326953748007</v>
      </c>
      <c r="G7" s="4">
        <f t="shared" si="2"/>
        <v>156.87813333333332</v>
      </c>
      <c r="H7" s="15">
        <f>AVERAGEIFS(HotelData[Competitor Set Avg Rate (€)],HotelData[Month],$A7,HotelData[Property],$H$1)</f>
        <v>173.5</v>
      </c>
      <c r="I7" s="16">
        <f t="shared" si="3"/>
        <v>14.153269537480071</v>
      </c>
      <c r="J7" s="17">
        <f t="shared" si="4"/>
        <v>108.15750405618448</v>
      </c>
    </row>
    <row r="8" spans="1:10" x14ac:dyDescent="0.35">
      <c r="A8" s="2" t="s">
        <v>32</v>
      </c>
      <c r="B8" s="13">
        <f>SUMIFS(HotelData[Rooms Sold],HotelData[Month],$A8,HotelData[Property],$H$1)</f>
        <v>3170</v>
      </c>
      <c r="C8" s="13">
        <f>SUMIFS(HotelData[Total Rooms Available],HotelData[Month],$A8,HotelData[Property],$H$1)</f>
        <v>3875</v>
      </c>
      <c r="D8" s="14">
        <f>SUMIFS(HotelData[Room Revenue (€)],HotelData[Month],$A8,HotelData[Property],$H$1)</f>
        <v>650539</v>
      </c>
      <c r="E8" s="3">
        <f t="shared" si="0"/>
        <v>0.8180645161290323</v>
      </c>
      <c r="F8" s="4">
        <f t="shared" si="1"/>
        <v>205.2173501577287</v>
      </c>
      <c r="G8" s="4">
        <f t="shared" si="2"/>
        <v>167.88103225806452</v>
      </c>
      <c r="H8" s="15">
        <f>AVERAGEIFS(HotelData[Competitor Set Avg Rate (€)],HotelData[Month],$A8,HotelData[Property],$H$1)</f>
        <v>180.03225806451613</v>
      </c>
      <c r="I8" s="16">
        <f t="shared" si="3"/>
        <v>25.185092093212575</v>
      </c>
      <c r="J8" s="17">
        <f t="shared" si="4"/>
        <v>113.98921080253699</v>
      </c>
    </row>
    <row r="9" spans="1:10" x14ac:dyDescent="0.35">
      <c r="A9" s="2" t="s">
        <v>33</v>
      </c>
      <c r="B9" s="13">
        <f>SUMIFS(HotelData[Rooms Sold],HotelData[Month],$A9,HotelData[Property],$H$1)</f>
        <v>3077</v>
      </c>
      <c r="C9" s="13">
        <f>SUMIFS(HotelData[Total Rooms Available],HotelData[Month],$A9,HotelData[Property],$H$1)</f>
        <v>3750</v>
      </c>
      <c r="D9" s="14">
        <f>SUMIFS(HotelData[Room Revenue (€)],HotelData[Month],$A9,HotelData[Property],$H$1)</f>
        <v>617874</v>
      </c>
      <c r="E9" s="3">
        <f t="shared" si="0"/>
        <v>0.82053333333333334</v>
      </c>
      <c r="F9" s="4">
        <f t="shared" si="1"/>
        <v>200.80402989925253</v>
      </c>
      <c r="G9" s="4">
        <f t="shared" si="2"/>
        <v>164.7664</v>
      </c>
      <c r="H9" s="15">
        <f>AVERAGEIFS(HotelData[Competitor Set Avg Rate (€)],HotelData[Month],$A9,HotelData[Property],$H$1)</f>
        <v>188.4</v>
      </c>
      <c r="I9" s="16">
        <f t="shared" si="3"/>
        <v>12.404029899252521</v>
      </c>
      <c r="J9" s="17">
        <f t="shared" si="4"/>
        <v>106.58387998898753</v>
      </c>
    </row>
    <row r="10" spans="1:10" x14ac:dyDescent="0.35">
      <c r="A10" s="2" t="s">
        <v>34</v>
      </c>
      <c r="B10" s="13">
        <f>SUMIFS(HotelData[Rooms Sold],HotelData[Month],$A10,HotelData[Property],$H$1)</f>
        <v>3221</v>
      </c>
      <c r="C10" s="13">
        <f>SUMIFS(HotelData[Total Rooms Available],HotelData[Month],$A10,HotelData[Property],$H$1)</f>
        <v>3875</v>
      </c>
      <c r="D10" s="14">
        <f>SUMIFS(HotelData[Room Revenue (€)],HotelData[Month],$A10,HotelData[Property],$H$1)</f>
        <v>660406</v>
      </c>
      <c r="E10" s="3">
        <f t="shared" si="0"/>
        <v>0.83122580645161293</v>
      </c>
      <c r="F10" s="4">
        <f t="shared" si="1"/>
        <v>205.03135672151507</v>
      </c>
      <c r="G10" s="4">
        <f t="shared" si="2"/>
        <v>170.42735483870968</v>
      </c>
      <c r="H10" s="15">
        <f>AVERAGEIFS(HotelData[Competitor Set Avg Rate (€)],HotelData[Month],$A10,HotelData[Property],$H$1)</f>
        <v>181.58064516129033</v>
      </c>
      <c r="I10" s="16">
        <f t="shared" si="3"/>
        <v>23.450711560224732</v>
      </c>
      <c r="J10" s="17">
        <f t="shared" si="4"/>
        <v>112.91476387221473</v>
      </c>
    </row>
    <row r="11" spans="1:10" x14ac:dyDescent="0.35">
      <c r="A11" s="2" t="s">
        <v>35</v>
      </c>
      <c r="B11" s="13">
        <f>SUMIFS(HotelData[Rooms Sold],HotelData[Month],$A11,HotelData[Property],$H$1)</f>
        <v>3242</v>
      </c>
      <c r="C11" s="13">
        <f>SUMIFS(HotelData[Total Rooms Available],HotelData[Month],$A11,HotelData[Property],$H$1)</f>
        <v>3875</v>
      </c>
      <c r="D11" s="14">
        <f>SUMIFS(HotelData[Room Revenue (€)],HotelData[Month],$A11,HotelData[Property],$H$1)</f>
        <v>796164</v>
      </c>
      <c r="E11" s="3">
        <f t="shared" si="0"/>
        <v>0.83664516129032263</v>
      </c>
      <c r="F11" s="4">
        <f t="shared" si="1"/>
        <v>245.57803824799507</v>
      </c>
      <c r="G11" s="4">
        <f t="shared" si="2"/>
        <v>205.46167741935483</v>
      </c>
      <c r="H11" s="15">
        <f>AVERAGEIFS(HotelData[Competitor Set Avg Rate (€)],HotelData[Month],$A11,HotelData[Property],$H$1)</f>
        <v>188.64516129032259</v>
      </c>
      <c r="I11" s="16">
        <f t="shared" si="3"/>
        <v>56.932876957672477</v>
      </c>
      <c r="J11" s="17">
        <f t="shared" si="4"/>
        <v>130.17987663624908</v>
      </c>
    </row>
    <row r="12" spans="1:10" x14ac:dyDescent="0.35">
      <c r="A12" s="2" t="s">
        <v>36</v>
      </c>
      <c r="B12" s="13">
        <f>SUMIFS(HotelData[Rooms Sold],HotelData[Month],$A12,HotelData[Property],$H$1)</f>
        <v>3052</v>
      </c>
      <c r="C12" s="13">
        <f>SUMIFS(HotelData[Total Rooms Available],HotelData[Month],$A12,HotelData[Property],$H$1)</f>
        <v>3750</v>
      </c>
      <c r="D12" s="14">
        <f>SUMIFS(HotelData[Room Revenue (€)],HotelData[Month],$A12,HotelData[Property],$H$1)</f>
        <v>653256</v>
      </c>
      <c r="E12" s="3">
        <f t="shared" si="0"/>
        <v>0.81386666666666663</v>
      </c>
      <c r="F12" s="4">
        <f t="shared" si="1"/>
        <v>214.04193971166447</v>
      </c>
      <c r="G12" s="4">
        <f t="shared" si="2"/>
        <v>174.20160000000001</v>
      </c>
      <c r="H12" s="15">
        <f>AVERAGEIFS(HotelData[Competitor Set Avg Rate (€)],HotelData[Month],$A12,HotelData[Property],$H$1)</f>
        <v>195.83333333333334</v>
      </c>
      <c r="I12" s="16">
        <f t="shared" si="3"/>
        <v>18.208606378331126</v>
      </c>
      <c r="J12" s="17">
        <f t="shared" si="4"/>
        <v>109.29801176765845</v>
      </c>
    </row>
    <row r="13" spans="1:10" x14ac:dyDescent="0.35">
      <c r="A13" s="2" t="s">
        <v>37</v>
      </c>
      <c r="B13" s="13">
        <f>SUMIFS(HotelData[Rooms Sold],HotelData[Month],$A13,HotelData[Property],$H$1)</f>
        <v>3117</v>
      </c>
      <c r="C13" s="13">
        <f>SUMIFS(HotelData[Total Rooms Available],HotelData[Month],$A13,HotelData[Property],$H$1)</f>
        <v>3875</v>
      </c>
      <c r="D13" s="14">
        <f>SUMIFS(HotelData[Room Revenue (€)],HotelData[Month],$A13,HotelData[Property],$H$1)</f>
        <v>778730</v>
      </c>
      <c r="E13" s="3">
        <f t="shared" si="0"/>
        <v>0.80438709677419351</v>
      </c>
      <c r="F13" s="4">
        <f t="shared" si="1"/>
        <v>249.83317292268205</v>
      </c>
      <c r="G13" s="4">
        <f t="shared" si="2"/>
        <v>200.9625806451613</v>
      </c>
      <c r="H13" s="15">
        <f>AVERAGEIFS(HotelData[Competitor Set Avg Rate (€)],HotelData[Month],$A13,HotelData[Property],$H$1)</f>
        <v>184.12903225806451</v>
      </c>
      <c r="I13" s="16">
        <f t="shared" si="3"/>
        <v>65.70414066461754</v>
      </c>
      <c r="J13" s="17">
        <f t="shared" si="4"/>
        <v>135.68374843383225</v>
      </c>
    </row>
    <row r="14" spans="1:10" x14ac:dyDescent="0.35">
      <c r="A14" s="2" t="s">
        <v>38</v>
      </c>
      <c r="B14" s="13">
        <f>SUMIFS(HotelData[Rooms Sold],HotelData[Month],$A14,HotelData[Property],$H$1)</f>
        <v>3133</v>
      </c>
      <c r="C14" s="13">
        <f>SUMIFS(HotelData[Total Rooms Available],HotelData[Month],$A14,HotelData[Property],$H$1)</f>
        <v>3750</v>
      </c>
      <c r="D14" s="14">
        <f>SUMIFS(HotelData[Room Revenue (€)],HotelData[Month],$A14,HotelData[Property],$H$1)</f>
        <v>663589</v>
      </c>
      <c r="E14" s="3">
        <f t="shared" si="0"/>
        <v>0.83546666666666669</v>
      </c>
      <c r="F14" s="4">
        <f t="shared" si="1"/>
        <v>211.80625598467921</v>
      </c>
      <c r="G14" s="4">
        <f t="shared" si="2"/>
        <v>176.95706666666666</v>
      </c>
      <c r="H14" s="15">
        <f>AVERAGEIFS(HotelData[Competitor Set Avg Rate (€)],HotelData[Month],$A14,HotelData[Property],$H$1)</f>
        <v>181.06666666666666</v>
      </c>
      <c r="I14" s="16">
        <f t="shared" si="3"/>
        <v>30.739589318012548</v>
      </c>
      <c r="J14" s="17">
        <f t="shared" si="4"/>
        <v>116.97694549963875</v>
      </c>
    </row>
    <row r="15" spans="1:10" x14ac:dyDescent="0.35">
      <c r="A15" s="2" t="s">
        <v>39</v>
      </c>
      <c r="B15" s="13">
        <f>SUMIFS(HotelData[Rooms Sold],HotelData[Month],$A15,HotelData[Property],$H$1)</f>
        <v>3177</v>
      </c>
      <c r="C15" s="13">
        <f>SUMIFS(HotelData[Total Rooms Available],HotelData[Month],$A15,HotelData[Property],$H$1)</f>
        <v>3875</v>
      </c>
      <c r="D15" s="14">
        <f>SUMIFS(HotelData[Room Revenue (€)],HotelData[Month],$A15,HotelData[Property],$H$1)</f>
        <v>671483</v>
      </c>
      <c r="E15" s="3">
        <f t="shared" si="0"/>
        <v>0.81987096774193546</v>
      </c>
      <c r="F15" s="4">
        <f t="shared" si="1"/>
        <v>211.35757003462385</v>
      </c>
      <c r="G15" s="4">
        <f t="shared" si="2"/>
        <v>173.28593548387096</v>
      </c>
      <c r="H15" s="15">
        <f>AVERAGEIFS(HotelData[Competitor Set Avg Rate (€)],HotelData[Month],$A15,HotelData[Property],$H$1)</f>
        <v>184.58064516129033</v>
      </c>
      <c r="I15" s="16">
        <f t="shared" si="3"/>
        <v>26.776924873333513</v>
      </c>
      <c r="J15" s="17">
        <f t="shared" si="4"/>
        <v>114.50689743224989</v>
      </c>
    </row>
    <row r="16" spans="1:10" x14ac:dyDescent="0.35">
      <c r="A16" s="18" t="s">
        <v>40</v>
      </c>
      <c r="B16" s="19">
        <f>SUM(B4:B15)</f>
        <v>37570</v>
      </c>
      <c r="C16" s="19">
        <f>SUM(C4:C15)</f>
        <v>45625</v>
      </c>
      <c r="D16" s="20">
        <f>SUM(D4:D15)</f>
        <v>8270247</v>
      </c>
      <c r="E16" s="21">
        <f t="shared" si="0"/>
        <v>0.82345205479452055</v>
      </c>
      <c r="F16" s="22">
        <f t="shared" si="1"/>
        <v>220.12901250998138</v>
      </c>
      <c r="G16" s="22">
        <f t="shared" si="2"/>
        <v>181.26568767123288</v>
      </c>
      <c r="H16" s="23">
        <f>AVERAGEIFS(HotelData[Competitor Set Avg Rate (€)],HotelData[Property],$H$1)</f>
        <v>184.80547945205478</v>
      </c>
      <c r="I16" s="24">
        <f t="shared" si="3"/>
        <v>35.323533057926596</v>
      </c>
      <c r="J16" s="25">
        <f t="shared" si="4"/>
        <v>119.11389919966675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88A0-7E6B-4AE0-B7C8-5BF5FBA3123A}">
  <dimension ref="A2:A5"/>
  <sheetViews>
    <sheetView showGridLines="0" workbookViewId="0">
      <selection activeCell="C14" sqref="C14"/>
    </sheetView>
  </sheetViews>
  <sheetFormatPr defaultRowHeight="14.5" x14ac:dyDescent="0.35"/>
  <sheetData>
    <row r="2" spans="1:1" x14ac:dyDescent="0.35">
      <c r="A2" s="29" t="s">
        <v>49</v>
      </c>
    </row>
    <row r="3" spans="1:1" x14ac:dyDescent="0.35">
      <c r="A3" t="s">
        <v>50</v>
      </c>
    </row>
    <row r="4" spans="1:1" x14ac:dyDescent="0.35">
      <c r="A4" t="s">
        <v>51</v>
      </c>
    </row>
    <row r="5" spans="1:1" x14ac:dyDescent="0.35">
      <c r="A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Hotel Data</vt:lpstr>
      <vt:lpstr>Monthly 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Naik, Laukik Ulhas</dc:creator>
  <cp:lastModifiedBy>Naik, Laukik Ulhas</cp:lastModifiedBy>
  <dcterms:created xsi:type="dcterms:W3CDTF">2026-10-19T18:25:49Z</dcterms:created>
  <dcterms:modified xsi:type="dcterms:W3CDTF">2026-10-19T20:25:52Z</dcterms:modified>
</cp:coreProperties>
</file>